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obie\Downloads\"/>
    </mc:Choice>
  </mc:AlternateContent>
  <xr:revisionPtr revIDLastSave="0" documentId="13_ncr:1_{7166817C-76EE-463D-B8E1-98F9B2CC1B04}" xr6:coauthVersionLast="47" xr6:coauthVersionMax="47" xr10:uidLastSave="{00000000-0000-0000-0000-000000000000}"/>
  <bookViews>
    <workbookView xWindow="-96" yWindow="0" windowWidth="14016" windowHeight="12336" activeTab="2" xr2:uid="{00000000-000D-0000-FFFF-FFFF00000000}"/>
  </bookViews>
  <sheets>
    <sheet name="Control Assessment" sheetId="1" r:id="rId1"/>
    <sheet name="Remediation Plan" sheetId="2" r:id="rId2"/>
    <sheet name="Assessment Summary" sheetId="3" r:id="rId3"/>
  </sheets>
  <definedNames>
    <definedName name="_xlnm._FilterDatabase" localSheetId="2" hidden="1">'Assessment Summary'!$A$1:$B$20</definedName>
    <definedName name="_xlnm._FilterDatabase" localSheetId="0" hidden="1">'Control Assessment'!$A$1:$Q$1</definedName>
    <definedName name="_xlnm._FilterDatabase" localSheetId="1" hidden="1">'Remediation Plan'!$A$1:$M$1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B17" i="3"/>
  <c r="B16" i="3"/>
  <c r="B15" i="3"/>
  <c r="K11" i="2"/>
  <c r="K10" i="2"/>
  <c r="K9" i="2"/>
  <c r="K6" i="2"/>
  <c r="K2" i="2"/>
  <c r="K4" i="2"/>
  <c r="K3" i="2"/>
  <c r="B14" i="3"/>
  <c r="B13" i="3"/>
  <c r="B12" i="3"/>
  <c r="B11" i="3"/>
  <c r="B10" i="3"/>
  <c r="B9" i="3"/>
  <c r="B8" i="3"/>
  <c r="B7" i="3"/>
  <c r="B6" i="3"/>
</calcChain>
</file>

<file path=xl/sharedStrings.xml><?xml version="1.0" encoding="utf-8"?>
<sst xmlns="http://schemas.openxmlformats.org/spreadsheetml/2006/main" count="974" uniqueCount="555">
  <si>
    <t>Control ID</t>
  </si>
  <si>
    <t>Control Domain</t>
  </si>
  <si>
    <t>Framework</t>
  </si>
  <si>
    <t>Control Reference</t>
  </si>
  <si>
    <t>Control Requirement</t>
  </si>
  <si>
    <t>Control Description</t>
  </si>
  <si>
    <t>Control Owner</t>
  </si>
  <si>
    <t>Evidence Required</t>
  </si>
  <si>
    <t>Evidence Status</t>
  </si>
  <si>
    <t>Assessment Status</t>
  </si>
  <si>
    <t>Finding</t>
  </si>
  <si>
    <t>Finding Severity</t>
  </si>
  <si>
    <t>Recommendation</t>
  </si>
  <si>
    <t>Assessment Notes</t>
  </si>
  <si>
    <t>Target Date</t>
  </si>
  <si>
    <t>Validation Status</t>
  </si>
  <si>
    <t>CTRL-001</t>
  </si>
  <si>
    <t>Information Security Policies</t>
  </si>
  <si>
    <t>Governance &amp; Security Management</t>
  </si>
  <si>
    <t>ISO/IEC 27001:2022; NIST CSF 2.0</t>
  </si>
  <si>
    <t>ISO A.5.1; NIST GV.PO</t>
  </si>
  <si>
    <t>Information security policies shall be established, approved, communicated, and periodically reviewed.</t>
  </si>
  <si>
    <t>Axiom maintains documented information security policies approved by management and reviewed periodically to ensure continued relevance and alignment with organizational requirements.</t>
  </si>
  <si>
    <t>CISO</t>
  </si>
  <si>
    <t>Approved information security policies; policy review records; management approval records; policy communication or acknowledgement records</t>
  </si>
  <si>
    <t>Sufficient</t>
  </si>
  <si>
    <t>Effective</t>
  </si>
  <si>
    <t>Maintain periodic policy review and management approval processes.</t>
  </si>
  <si>
    <t>Policies are documented, approved, communicated to relevant personnel, and subject to periodic review.</t>
  </si>
  <si>
    <t>Validated</t>
  </si>
  <si>
    <t>CTRL-002</t>
  </si>
  <si>
    <t>Information Security Roles &amp; Responsibilities</t>
  </si>
  <si>
    <t>ISO A.5.2; NIST GV.PO</t>
  </si>
  <si>
    <t>Information security roles, responsibilities, and authorities shall be defined and assigned.</t>
  </si>
  <si>
    <t>Axiom defines information security responsibilities across management, security, IT, engineering, and business functions, with designated ownership for key security activities.</t>
  </si>
  <si>
    <t>Security organization chart; role descriptions; responsibility matrix; security committee records</t>
  </si>
  <si>
    <t>Partial</t>
  </si>
  <si>
    <t>Partially Effective</t>
  </si>
  <si>
    <t>Security responsibilities are defined for core functions, but ownership is not consistently documented for all supporting security activities.</t>
  </si>
  <si>
    <t>Moderate</t>
  </si>
  <si>
    <t>Establish and maintain a comprehensive security responsibility matrix covering all relevant security activities and supporting functions.</t>
  </si>
  <si>
    <t>Core security responsibilities are assigned, but documentation is inconsistent across some supporting functions.</t>
  </si>
  <si>
    <t>In Progress</t>
  </si>
  <si>
    <t>CTRL-003</t>
  </si>
  <si>
    <t>Segregation of Duties</t>
  </si>
  <si>
    <t>ISO A.5.3; NIST GV.RR</t>
  </si>
  <si>
    <t>Conflicting duties and areas of responsibility shall be appropriately segregated to reduce the risk of unauthorized or unintended activity.</t>
  </si>
  <si>
    <t>Axiom applies segregation of duties across privileged access, software development, production deployment, and security administration activities where practical.</t>
  </si>
  <si>
    <t>Access-role matrix; privileged-access records; deployment approval records; role-separation documentation</t>
  </si>
  <si>
    <t>Segregation of duties is applied to critical activities but is not consistently documented or enforced across all privileged and deployment workflows.</t>
  </si>
  <si>
    <t>High</t>
  </si>
  <si>
    <t>Formalize segregation-of-duties requirements and implement documented role separation for privileged administration and production deployment activities.</t>
  </si>
  <si>
    <t>Separation exists for several critical workflows, but exceptions and smaller teams create areas where duties may overlap.</t>
  </si>
  <si>
    <t>CTRL-004</t>
  </si>
  <si>
    <t>Management Security Responsibilities</t>
  </si>
  <si>
    <t>ISO A.5.4; NIST GV.RR</t>
  </si>
  <si>
    <t>Management shall require personnel to apply information security in accordance with established policies, procedures, and requirements.</t>
  </si>
  <si>
    <t>Axiom management communicates security expectations to personnel and incorporates information security responsibilities into organizational processes and employee expectations.</t>
  </si>
  <si>
    <t>Management communications; security awareness materials; employee acknowledgement records; security responsibility documentation</t>
  </si>
  <si>
    <t>Maintain management communication of security responsibilities and periodically review awareness and acknowledgement processes.</t>
  </si>
  <si>
    <t>Management establishes security expectations and communicates applicable responsibilities to personnel.</t>
  </si>
  <si>
    <t>CTRL-005</t>
  </si>
  <si>
    <t>Threat Intelligence</t>
  </si>
  <si>
    <t>ISO A.5.7; NIST ID.RA</t>
  </si>
  <si>
    <t>Information about information security threats shall be collected and analyzed to support informed risk management decisions.</t>
  </si>
  <si>
    <t>Axiom monitors relevant cybersecurity threat information and incorporates threat intelligence into risk assessment, vulnerability management, and security decision-making processes.</t>
  </si>
  <si>
    <t>Threat intelligence reports; threat monitoring records; risk assessment updates; security advisories; vulnerability prioritization records</t>
  </si>
  <si>
    <t>Insufficient</t>
  </si>
  <si>
    <t>Ineffective</t>
  </si>
  <si>
    <t>Threat intelligence activities are performed, but there is insufficient documented evidence demonstrating consistent collection, analysis, and integration into risk management decisions.</t>
  </si>
  <si>
    <t>Establish a formal threat intelligence process defining sources, analysis requirements, ownership, distribution, and integration with risk and vulnerability management.</t>
  </si>
  <si>
    <t>Threat information is available from multiple sources, but the process for documenting analysis and translating intelligence into risk decisions is not consistently established.</t>
  </si>
  <si>
    <t>CTRL-006</t>
  </si>
  <si>
    <t>Access Control Policy</t>
  </si>
  <si>
    <t>Identity &amp; Access Management</t>
  </si>
  <si>
    <t>ISO A.5.15; NIST CSF 2.0</t>
  </si>
  <si>
    <t>Rules to control physical and logical access to information and associated assets shall be established and implemented based on business and security requirements.</t>
  </si>
  <si>
    <t>Axiom maintains access-control requirements defining how users are granted, reviewed, modified, and revoked access to systems and information based on business need and security requirements.</t>
  </si>
  <si>
    <t>IT Security Manager</t>
  </si>
  <si>
    <t>Access control policy; IAM procedures; role-based access matrix; access request procedures</t>
  </si>
  <si>
    <t>Maintain documented access-control requirements and periodically review them for continued alignment with business and security needs.</t>
  </si>
  <si>
    <t>Access-control requirements are documented and provide a consistent basis for managing logical access to organizational systems and information.</t>
  </si>
  <si>
    <t>CTRL-007</t>
  </si>
  <si>
    <t>User Access Provisioning</t>
  </si>
  <si>
    <t>ISO A.5.16; NIST PR.AA</t>
  </si>
  <si>
    <t>The allocation and management of authentication information and user access shall be controlled throughout the identity lifecycle.</t>
  </si>
  <si>
    <t>Axiom uses documented procedures for provisioning user accounts and assigning access based on job responsibilities, approved requests, and least-privilege principles.</t>
  </si>
  <si>
    <t>Access requests; approval records; provisioning tickets; IAM logs; role assignments</t>
  </si>
  <si>
    <t>User access provisioning procedures are established, but approval and documentation requirements are not consistently applied across all systems.</t>
  </si>
  <si>
    <t>Standardize access provisioning workflows and require documented approval and evidence for all system access assignments.</t>
  </si>
  <si>
    <t>Core systems follow defined provisioning processes, but some SaaS and supporting applications rely on less formal access-request and approval procedures.</t>
  </si>
  <si>
    <t>CTRL-008</t>
  </si>
  <si>
    <t>Authentication and MFA</t>
  </si>
  <si>
    <t>ISO A.5.17; NIST PR.AA</t>
  </si>
  <si>
    <t>Authentication information shall be protected and authentication mechanisms shall be appropriate to the sensitivity of the systems and information being accessed.</t>
  </si>
  <si>
    <t>Axiom requires strong authentication controls, including multi-factor authentication for administrative accounts and systems containing sensitive organizational or customer information.</t>
  </si>
  <si>
    <t>MFA configuration records; identity-provider policies; authentication logs; privileged-account inventory</t>
  </si>
  <si>
    <t>Maintain MFA enforcement and periodically review authentication policies, exceptions, and privileged accounts.</t>
  </si>
  <si>
    <t>MFA is enforced for privileged accounts and major business systems, with centralized identity-management controls supporting authentication requirements.</t>
  </si>
  <si>
    <t>CTRL-009</t>
  </si>
  <si>
    <t>Privileged Access Management</t>
  </si>
  <si>
    <t>ISO A.8.2; NIST PR.AA</t>
  </si>
  <si>
    <t>Allocation and use of privileged access rights shall be restricted and managed appropriately.</t>
  </si>
  <si>
    <t>Axiom restricts privileged access to administrative functions and requires elevated permissions to be assigned based on documented business and security requirements.</t>
  </si>
  <si>
    <t>Cloud Security Engineer</t>
  </si>
  <si>
    <t>Privileged-access inventory; IAM role assignments; administrator accounts; privileged-access approvals; access logs</t>
  </si>
  <si>
    <t>Privileged accounts exist across cloud and administrative environments, but Axiom lacks sufficient centralized documentation and periodic review of privileged access.</t>
  </si>
  <si>
    <t>Establish a centralized privileged-access management process covering administrative accounts, role assignments, approvals, periodic reviews, and removal of unnecessary privileges.</t>
  </si>
  <si>
    <t>Privileged access is technically restricted in several environments, but management lacks complete evidence demonstrating that privileged permissions are consistently inventoried and reviewed.</t>
  </si>
  <si>
    <t>CTRL-010</t>
  </si>
  <si>
    <t>Joiner, Mover, Leaver Process</t>
  </si>
  <si>
    <t>ISO A.5.18; NIST PR.AA</t>
  </si>
  <si>
    <t>Access rights shall be provisioned, reviewed, modified, and removed in accordance with established business requirements and changes in user responsibilities.</t>
  </si>
  <si>
    <t>Axiom maintains onboarding, role-change, and offboarding procedures intended to ensure that user access is appropriately granted, modified, and revoked throughout the employee lifecycle.</t>
  </si>
  <si>
    <t>IT Operations Manager</t>
  </si>
  <si>
    <t>Joiner/mover/leaver procedures; HR notifications; account provisioning records; termination tickets; access revocation logs</t>
  </si>
  <si>
    <t>User lifecycle procedures exist, but evidence of timely access modification and revocation is inconsistent across some applications and SaaS platforms.</t>
  </si>
  <si>
    <t>Integrate HR lifecycle events with access-management workflows and require documented completion of access changes and revocation across all applicable systems.</t>
  </si>
  <si>
    <t>Core identity systems are included in the employee lifecycle process, but decentralized SaaS applications create gaps in consistent access removal and role-change documentation.</t>
  </si>
  <si>
    <t>CTRL-011</t>
  </si>
  <si>
    <t>Periodic Access Review</t>
  </si>
  <si>
    <t>Access rights shall be reviewed at appropriate intervals to confirm that access remains appropriate.</t>
  </si>
  <si>
    <t>Axiom performs periodic reviews of user and privileged access to identify excessive, inappropriate, or outdated permissions.</t>
  </si>
  <si>
    <t>Access review reports; manager approvals; remediation tickets; privileged-access review records</t>
  </si>
  <si>
    <t>Periodic access reviews are not consistently performed or documented across all critical applications and privileged accounts.</t>
  </si>
  <si>
    <t>Establish a formal recurring access-review process with defined frequency, system coverage, responsible reviewers, approval evidence, and remediation tracking.</t>
  </si>
  <si>
    <t>Access reviews are performed for selected systems, but there is no consistently documented enterprise-wide review cycle covering all critical applications and privileged access.</t>
  </si>
  <si>
    <t>CTRL-012</t>
  </si>
  <si>
    <t xml:space="preserve">Asset Inventory </t>
  </si>
  <si>
    <t>Asset Management</t>
  </si>
  <si>
    <t>ISO A.5.9; NIST ID.AM</t>
  </si>
  <si>
    <t>An inventory of information and other associated assets, including relevant ownership information, shall be developed and maintained.</t>
  </si>
  <si>
    <t>Axiom maintains an inventory of hardware, software, cloud resources, applications, and information assets to support security management and risk assessment.</t>
  </si>
  <si>
    <t>Asset inventory; CMDB or asset register; cloud resource inventory; asset ownership records</t>
  </si>
  <si>
    <t>Maintain the asset inventory and establish periodic reconciliation against cloud, endpoint, and application environments.</t>
  </si>
  <si>
    <t>Axiom maintains a centralized inventory covering major technology and information assets, with designated ownership for critical assets.</t>
  </si>
  <si>
    <t>CTRL-013</t>
  </si>
  <si>
    <t>Asset Ownership</t>
  </si>
  <si>
    <t>Assets shall have defined owners responsible for their management and protection.</t>
  </si>
  <si>
    <t>Axiom assigns ownership responsibilities to business and technical personnel for critical systems, applications, data assets, and cloud resources.</t>
  </si>
  <si>
    <t>Asset ownership records; system ownership matrix; application inventory; responsibility assignments</t>
  </si>
  <si>
    <t>Ownership is defined for critical assets, but ownership records are incomplete for some supporting applications and cloud resources.</t>
  </si>
  <si>
    <t>Establish mandatory ownership assignments for all in-scope assets and perform periodic ownership validation.</t>
  </si>
  <si>
    <t>Critical production systems have designated owners, but supporting applications and certain cloud resources do not consistently have documented ownership.</t>
  </si>
  <si>
    <t>CTRL-014</t>
  </si>
  <si>
    <t>Asset Classification</t>
  </si>
  <si>
    <t>ISO A.5.12; NIST ID.AM</t>
  </si>
  <si>
    <t>Information shall be classified according to the organization's security requirements and business needs.</t>
  </si>
  <si>
    <t>Axiom classifies information and associated assets according to sensitivity, business importance, and security requirements to support appropriate protection measures.</t>
  </si>
  <si>
    <t>Information Security Manager</t>
  </si>
  <si>
    <t>Information classification policy; data classification matrix; asset classification records; data inventory</t>
  </si>
  <si>
    <t>A formal classification framework exists, but classification has not been consistently applied to all information assets and business-critical data repositories.</t>
  </si>
  <si>
    <t>Implement mandatory classification requirements for in-scope information assets and establish periodic validation of classification assignments.</t>
  </si>
  <si>
    <t>Classification requirements are documented, but evidence indicates inconsistent implementation across business applications and data repositories.</t>
  </si>
  <si>
    <t>CTRL-015</t>
  </si>
  <si>
    <t>Acceptable Use of Assets</t>
  </si>
  <si>
    <t>ISO A.5.10; NIST PR.AT</t>
  </si>
  <si>
    <t>Rules for acceptable use and handling of information and associated assets shall be identified, documented, and implemented.</t>
  </si>
  <si>
    <t>Axiom establishes acceptable-use requirements governing company devices, cloud services, applications, information, and other organizational technology resources.</t>
  </si>
  <si>
    <t>Acceptable-use policy; employee acknowledgements; security awareness materials; policy review records</t>
  </si>
  <si>
    <t>Maintain acceptable-use requirements and periodically review them to address changes in technology, remote work practices, and emerging security risks.</t>
  </si>
  <si>
    <t>Acceptable-use requirements are documented and communicated to personnel through security policies and awareness activities.</t>
  </si>
  <si>
    <t>CTRL-016</t>
  </si>
  <si>
    <t>Data Classification &amp; Handling</t>
  </si>
  <si>
    <t>Data Protection</t>
  </si>
  <si>
    <t>ISO A.5.12; ISO A.5.13; NIST PR.DS</t>
  </si>
  <si>
    <t>Information shall be classified and handled in accordance with its security requirements and organizational policies.</t>
  </si>
  <si>
    <t>Axiom applies data classification and handling requirements to customer, corporate, proprietary, and other sensitive information based on business and security needs.</t>
  </si>
  <si>
    <t xml:space="preserve">Data classification policy; data handling procedures; classification records; employee security awareness materials
</t>
  </si>
  <si>
    <t>Data classification requirements are established, but evidence of consistent application and handling across all business systems is incomplete.</t>
  </si>
  <si>
    <t>Expand classification coverage and establish periodic validation that sensitive information is appropriately classified and handled.</t>
  </si>
  <si>
    <t>Classification and handling requirements are documented, but implementation varies between systems and business functions.</t>
  </si>
  <si>
    <t>CTRL-017</t>
  </si>
  <si>
    <t>Encyrption of Sensitive Data</t>
  </si>
  <si>
    <t>ISO A.8.24; NIST PR.DS</t>
  </si>
  <si>
    <t>Rules for the effective use of cryptography, including protection of information in transit and at rest, shall be defined and implemented.</t>
  </si>
  <si>
    <t>Axiom uses encryption mechanisms to protect sensitive information at rest and in transit across cloud services, applications, databases, and communications channels.</t>
  </si>
  <si>
    <t>Encryption standards; AWS encryption configurations; TLS configuration records; key-management procedures; database encryption settings</t>
  </si>
  <si>
    <t>Maintain encryption requirements and periodically validate encryption configurations and cryptographic standards across in-scope systems.</t>
  </si>
  <si>
    <t>Encryption requirements are established and implemented for sensitive information stored in and transmitted through major organizational systems.</t>
  </si>
  <si>
    <t>CTRL-018</t>
  </si>
  <si>
    <t>Data Retention &amp; Disposal</t>
  </si>
  <si>
    <t>ISO A.8.10; NIST PR.DS</t>
  </si>
  <si>
    <t>Information shall be securely deleted when it is no longer required, subject to legal, regulatory, contractual, and business requirements.</t>
  </si>
  <si>
    <t>Axiom maintains data retention and disposal requirements intended to ensure that information is retained only for appropriate periods and securely disposed of when no longer required.</t>
  </si>
  <si>
    <t>Privacy &amp; Compliance Manager</t>
  </si>
  <si>
    <t>Data retention policy; retention schedules; deletion procedures; disposal records; system data lifecycle documentation</t>
  </si>
  <si>
    <t>Retention requirements are documented at a policy level, but Axiom lacks sufficient evidence demonstrating consistent enforcement and secure disposal across all systems and data repositories.</t>
  </si>
  <si>
    <t>Establish system-specific retention schedules, automated or documented deletion processes, and evidence of periodic disposal activities.</t>
  </si>
  <si>
    <t>The organization has defined retention expectations, but implementation and evidence of secure disposal are inconsistent across applications and cloud data stores.</t>
  </si>
  <si>
    <t>Not Started</t>
  </si>
  <si>
    <t>CTRL-019</t>
  </si>
  <si>
    <t>Data Loss Prevention</t>
  </si>
  <si>
    <t>ISO A.8.12; NIST PR.DS</t>
  </si>
  <si>
    <t>Data leakage prevention measures shall be applied to systems, networks, and other environments where sensitive information is processed or transmitted.</t>
  </si>
  <si>
    <t>Axiom implements technical and administrative safeguards intended to detect and prevent unauthorized disclosure or transfer of sensitive information.</t>
  </si>
  <si>
    <t>Security Operations Manager</t>
  </si>
  <si>
    <t>DLP policies; endpoint security configurations; email security controls; data monitoring alerts; DLP incident records</t>
  </si>
  <si>
    <t>Data protection mechanisms are deployed in key environments, but DLP coverage and monitoring are not consistently documented across all endpoints and communication channels.</t>
  </si>
  <si>
    <t>Establish enterprise-wide DLP coverage requirements and document monitoring, alert handling, exceptions, and periodic effectiveness reviews.</t>
  </si>
  <si>
    <t>Axiom has several preventive data-protection mechanisms, but centralized visibility into data-transfer activity and DLP coverage remains incomplete.</t>
  </si>
  <si>
    <t>CTRL-020</t>
  </si>
  <si>
    <t>Backup Protection</t>
  </si>
  <si>
    <t>ISO A.8.13; NIST PR.DS</t>
  </si>
  <si>
    <t>Backup copies of information, software, and systems shall be maintained and regularly tested in accordance with organizational requirements.</t>
  </si>
  <si>
    <t>Axiom maintains backups for critical systems and data, with protection measures intended to preserve availability and integrity and support recovery following data loss or service disruption.</t>
  </si>
  <si>
    <t>Infrastructure Manager</t>
  </si>
  <si>
    <t>Backup schedules; backup configuration records; backup logs; restoration test records; backup retention policies</t>
  </si>
  <si>
    <t>Continue periodic backup validation and restoration testing to confirm recoverability of critical systems and information.</t>
  </si>
  <si>
    <t>Backup processes are established for critical systems, with documented schedules and evidence of periodic restoration testing.</t>
  </si>
  <si>
    <t>CTRL-021</t>
  </si>
  <si>
    <t>Cloud Security Configuration</t>
  </si>
  <si>
    <t>Cloud &amp; Infrastructure Security</t>
  </si>
  <si>
    <t>ISO A.5.23; NIST PR.PS</t>
  </si>
  <si>
    <t>Processes for acquisition, use, management, and termination of cloud services shall be established and implemented in accordance with information security requirements.</t>
  </si>
  <si>
    <t>Axiom establishes security configuration requirements for its AWS environment, including baseline configurations, account security, network controls, logging, and resource protection.</t>
  </si>
  <si>
    <t>AWS security baseline; cloud configuration standards; AWS account configuration documentation; security architecture diagrams</t>
  </si>
  <si>
    <t>Cloud security configuration requirements are documented, but evidence of consistent baseline enforcement across all AWS resources is incomplete.</t>
  </si>
  <si>
    <t>Establish standardized cloud security baselines and implement recurring configuration reviews to identify deviations from approved requirements.</t>
  </si>
  <si>
    <t>Security requirements exist for the AWS environment, but configuration governance is not consistently demonstrated across all cloud resources.</t>
  </si>
  <si>
    <t>CTRL-022</t>
  </si>
  <si>
    <t>Network Security Controls</t>
  </si>
  <si>
    <t>ISO A.8.20; ISO A.8.22; NIST PR.IR</t>
  </si>
  <si>
    <t>Networks and network devices shall be secured, managed, and protected against unauthorized access and compromise.</t>
  </si>
  <si>
    <t>Axiom implements network security controls within its cloud environment, including segmentation, security groups, firewall rules, restricted administrative access, and controlled network pathways.</t>
  </si>
  <si>
    <t>Network architecture diagrams; security group configurations; firewall rules; network access-control documentation; approved network changes</t>
  </si>
  <si>
    <t>Maintain network security standards and periodically review firewall, security-group, and segmentation configurations.</t>
  </si>
  <si>
    <t>Network security requirements are documented and implemented through cloud-native access controls and segmentation mechanisms.</t>
  </si>
  <si>
    <t>CTRL-023</t>
  </si>
  <si>
    <t>Secure Configuration Management</t>
  </si>
  <si>
    <t>ISO A.8.9; NIST PR.PS</t>
  </si>
  <si>
    <t>Configurations of hardware, software, services, and networks shall be established, documented, implemented, monitored, and reviewed.</t>
  </si>
  <si>
    <t>Axiom maintains secure configuration standards for operating systems, applications, cloud resources, and supporting infrastructure, with changes managed through established processes.</t>
  </si>
  <si>
    <t>Configuration baselines; hardening standards; configuration-management records; change tickets; configuration review records</t>
  </si>
  <si>
    <t>Secure configuration standards exist for major infrastructure components, but configuration drift monitoring and periodic validation are not consistently documented.</t>
  </si>
  <si>
    <t>Implement recurring configuration assessments and centralized tracking of deviations from approved security baselines.</t>
  </si>
  <si>
    <t>Baseline configuration requirements are established, but evidence of continuous monitoring and remediation of configuration deviations is limited.</t>
  </si>
  <si>
    <t>CTRL-024</t>
  </si>
  <si>
    <t xml:space="preserve">Logging &amp; Cloud Monitoring </t>
  </si>
  <si>
    <t>ISO A.8.15; ISO A.8.16; NIST CSF DE.CM</t>
  </si>
  <si>
    <t>Logs shall be produced, protected, monitored, and analyzed to support security monitoring and investigation.</t>
  </si>
  <si>
    <t>Axiom collects security-relevant logs from cloud infrastructure, applications, authentication systems, and other critical sources to support detection and investigation of suspicious activity.</t>
  </si>
  <si>
    <t>Cloud logging configuration; CloudTrail records; centralized log-management configuration; monitoring rules; alert records; log-retention settings</t>
  </si>
  <si>
    <t>Maintain centralized logging and periodically review log-source coverage, retention requirements, and monitoring effectiveness.</t>
  </si>
  <si>
    <t>Security-relevant cloud and authentication events are centrally collected and monitored for suspicious activity.</t>
  </si>
  <si>
    <t>CTRL-025</t>
  </si>
  <si>
    <t>Infrastructure Change Management</t>
  </si>
  <si>
    <t>ISO A.8.32; NIST PR.PS</t>
  </si>
  <si>
    <t>Changes to information processing facilities and systems shall be subject to change-management procedures.</t>
  </si>
  <si>
    <t>Axiom requires infrastructure and cloud configuration changes to be documented, reviewed, approved, and implemented through controlled change-management processes.</t>
  </si>
  <si>
    <t>Change-management policy; change tickets; approval records; deployment records; emergency-change documentation</t>
  </si>
  <si>
    <t>Change-management procedures exist, but evidence is insufficient to demonstrate that all infrastructure and cloud changes receive consistent review and documented approval.</t>
  </si>
  <si>
    <t>Enforce standardized change-management workflows for cloud and infrastructure changes and require documented approval, testing, and implementation evidence.</t>
  </si>
  <si>
    <t>Formal change procedures exist, but decentralized infrastructure activities create gaps in consistent documentation and approval tracking.</t>
  </si>
  <si>
    <t>CTRL-026</t>
  </si>
  <si>
    <t>Secure Development Lifecycle</t>
  </si>
  <si>
    <t>Application &amp; Secure Development</t>
  </si>
  <si>
    <t>ISO A.8.25; NIST PR.PS</t>
  </si>
  <si>
    <t>Security principles shall be established and applied throughout the software development lifecycle.</t>
  </si>
  <si>
    <t>Axiom integrates security requirements, reviews, testing, and approval activities into the software development lifecycle for applications, APIs, and AI/ML services.</t>
  </si>
  <si>
    <t>Application Security Manager</t>
  </si>
  <si>
    <t>ecure SDLC policy; development procedures; security requirements; code review records; security testing procedures; release approvals</t>
  </si>
  <si>
    <t>Secure development practices are established, but security activities are not consistently documented across all development projects and release workflows.</t>
  </si>
  <si>
    <t>Formalize secure SDLC requirements and require documented security checkpoints for all production-bound applications and services.</t>
  </si>
  <si>
    <t>Development teams incorporate security into major projects, but documentation and evidence of consistent security checkpoints vary between teams.</t>
  </si>
  <si>
    <t>CTRL-027</t>
  </si>
  <si>
    <t>Application Security Testing</t>
  </si>
  <si>
    <t>ISO A.29; NIST PR.PS</t>
  </si>
  <si>
    <t>Security testing shall be performed during development and before production deployment where appropriate.</t>
  </si>
  <si>
    <t>Axiom incorporates application security testing into development and release processes to identify security weaknesses before production deployment.</t>
  </si>
  <si>
    <t>Application Security Manager
Evidence Required: Security testing procedures; SAST/DAST configurations; test results; remediation records; release security approvals</t>
  </si>
  <si>
    <t>Security testing capabilities exist, but evidence does not demonstrate consistent testing coverage across applications, APIs, and releases.</t>
  </si>
  <si>
    <t>Establish minimum security-testing requirements by application risk level and require documented results and remediation before production release.</t>
  </si>
  <si>
    <t>Security testing is performed for selected applications, but enterprise-wide coverage and documented release gates are incomplete.</t>
  </si>
  <si>
    <t>CTRL-028</t>
  </si>
  <si>
    <t>Secure Coding Practices</t>
  </si>
  <si>
    <t>ISO A.8.28; NIST PR.PS</t>
  </si>
  <si>
    <t>Secure coding principles shall be applied to software development activities.</t>
  </si>
  <si>
    <t>Axiom establishes secure coding practices addressing common application vulnerabilities, authentication, authorization, input validation, secrets management, and secure handling of API interactions.</t>
  </si>
  <si>
    <t>Engineering Manager</t>
  </si>
  <si>
    <t>Secure coding standard; developer guidelines; code review procedures; developer training records; repository protections; pull-request approvals</t>
  </si>
  <si>
    <t>Secure coding guidance is available, but consistent application and evidence of developer adherence are not demonstrated across all engineering teams.</t>
  </si>
  <si>
    <t>Establish mandatory secure coding standards and integrate security requirements into code review and developer training processes.</t>
  </si>
  <si>
    <t>Core engineering teams follow established practices, but documentation and enforcement are inconsistent across repositories.</t>
  </si>
  <si>
    <t>API Security</t>
  </si>
  <si>
    <t>ISO A.8.26; ISO A.8.20; NIST PR.AA / PR.IR</t>
  </si>
  <si>
    <t>Application and API security requirements shall be identified and implemented to protect information and services from unauthorized access or misuse.</t>
  </si>
  <si>
    <t>Axiom applies security controls to customer-facing APIs, including authentication, authorization, rate limiting, secure communications, input validation, and monitoring.</t>
  </si>
  <si>
    <t>API security standards; API gateway configurations; authentication/authorization requirements; rate-limit configurations; API monitoring records; architecture documentation</t>
  </si>
  <si>
    <t>Maintain API security controls and periodically review authentication, authorization, monitoring, and abuse-prevention requirements.</t>
  </si>
  <si>
    <t>Customer-facing APIs are protected through documented authentication, authorization, transport security, and monitoring requirements.</t>
  </si>
  <si>
    <t>CTRL-030</t>
  </si>
  <si>
    <t>Source Code &amp; Repository Security</t>
  </si>
  <si>
    <t>ISO A.8.4; ISO A.8.28; NIST PR.AA / PR.PS</t>
  </si>
  <si>
    <t>Access to source code, development repositories, and related development environments shall be appropriately restricted and protected.</t>
  </si>
  <si>
    <t>Axiom restricts access to source code and development repositories based on role and business need, with repository protections designed to prevent unauthorized modification or disclosure.</t>
  </si>
  <si>
    <t>Repository access lists; branch protection settings; repository permissions; code review records; privileged access records; secrets-management configuration</t>
  </si>
  <si>
    <t>Repository access controls and branch protections are implemented for primary repositories, but evidence of periodic access review and consistent protection across supporting repositories is incomplete.</t>
  </si>
  <si>
    <t>Establish centralized repository inventory, mandatory branch protections, periodic access reviews, and standardized secrets-management requirements across all repositories.</t>
  </si>
  <si>
    <t>Primary repositories have stronger protections, while smaller or supporting repositories have less consistent governance.</t>
  </si>
  <si>
    <t>CTRL-031</t>
  </si>
  <si>
    <t>Vulnerability Management</t>
  </si>
  <si>
    <t>Vulnerabillity &amp; Security Operations</t>
  </si>
  <si>
    <t>ISO A.8.8; NIST ID.RA</t>
  </si>
  <si>
    <t>Information about technical vulnerabilities shall be obtained, evaluated, and addressed in a timely manner.</t>
  </si>
  <si>
    <t>Axiom maintains a vulnerability management process for identifying, assessing, prioritizing, tracking, and remediating vulnerabilities affecting applications, infrastructure, and cloud resources.</t>
  </si>
  <si>
    <t>Vulnerability management policy; vulnerability register; assessment procedures; remediation tickets; risk-based prioritization criteria; vulnerability reports</t>
  </si>
  <si>
    <t>A vulnerability management process exists, but evidence of consistent prioritization, ownership, and remediation tracking across all technology assets is incomplete.</t>
  </si>
  <si>
    <t>Establish centralized vulnerability tracking with defined severity criteria, remediation timelines, ownership, escalation requirements, and management reporting.</t>
  </si>
  <si>
    <t>Vulnerabilities are tracked for major systems, but decentralized processes result in inconsistent documentation and remediation tracking.</t>
  </si>
  <si>
    <t>CTRL-032</t>
  </si>
  <si>
    <t>Vulnerability Remediation</t>
  </si>
  <si>
    <t>ISO A.8.8 NIST RS.MA / ID.RA</t>
  </si>
  <si>
    <t>Identified vulnerabilities shall be prioritized and remediated according to risk and defined organizational timelines.</t>
  </si>
  <si>
    <t>Axiom prioritizes vulnerability remediation based on severity, exploitability, asset criticality, exposure, and potential business impact.</t>
  </si>
  <si>
    <t>Vulnerability remediation SLA; remediation tickets; risk acceptance records; exception approvals; remediation metrics; closure evidence</t>
  </si>
  <si>
    <t>Vulnerability remediation timelines and escalation requirements are not consistently documented or enforced across all in-scope assets.</t>
  </si>
  <si>
    <t>Establish risk-based remediation SLAs, formal exception/risk-acceptance procedures, escalation requirements, and management reporting for overdue vulnerabilities.</t>
  </si>
  <si>
    <t>Critical vulnerabilities receive security attention, but standardized remediation timelines and documented exceptions are not consistently maintained.</t>
  </si>
  <si>
    <t>CTRL-033</t>
  </si>
  <si>
    <t>Security Monitorign &amp; Detection</t>
  </si>
  <si>
    <t>Vulnerability &amp; Security Operations</t>
  </si>
  <si>
    <t>ISO A.8.16; NIST DE.CM</t>
  </si>
  <si>
    <t>Networks, systems, applications, and relevant security events shall be monitored to identify potentially adverse events.</t>
  </si>
  <si>
    <t>Axiom monitors security-relevant activity across cloud infrastructure, applications, authentication systems, and other critical technology environments.</t>
  </si>
  <si>
    <t>Monitoring procedures; SIEM/logging configuration; detection rules; security alerts; monitoring dashboards; escalation procedures</t>
  </si>
  <si>
    <t>Maintain security monitoring and periodically review detection coverage, alert quality, and monitoring requirements.</t>
  </si>
  <si>
    <t>Centralized monitoring is established for key cloud, authentication, and application security events.</t>
  </si>
  <si>
    <t>CTRL-034</t>
  </si>
  <si>
    <t>Security Event Analysis &amp; Alert Handling</t>
  </si>
  <si>
    <t>ISO A.8.16; NIST DE.AE</t>
  </si>
  <si>
    <t>Security events shall be analyzed to determine whether they represent information security incidents or other events requiring response.</t>
  </si>
  <si>
    <t>Axiom establishes procedures for reviewing security alerts, analyzing potentially suspicious activity, escalating significant events, and documenting investigation outcomes.</t>
  </si>
  <si>
    <t>Alert triage procedures; escalation matrix; alert records; investigation tickets; incident classification criteria; analyst documentation</t>
  </si>
  <si>
    <t>Alert monitoring and escalation processes exist, but documentation of analysis and disposition is inconsistent across security event types.</t>
  </si>
  <si>
    <t>Standardize alert triage and disposition procedures with documented severity, analyst actions, escalation criteria, and closure evidence.</t>
  </si>
  <si>
    <t>Security alerts are reviewed and escalated when appropriate, but documentation quality varies between event categories.</t>
  </si>
  <si>
    <t>CTRL-035</t>
  </si>
  <si>
    <t>Security Incident Management</t>
  </si>
  <si>
    <t xml:space="preserve">ISO A.5.24; ISO A.5.25; ISO A.5.26; NIST RS.MA </t>
  </si>
  <si>
    <t>Information security incidents shall be assessed, responded to, managed, and documented according to established procedures.</t>
  </si>
  <si>
    <t>Axiom maintains an incident management process defining incident identification, triage, escalation, response, communication, recovery coordination, and post-incident review.</t>
  </si>
  <si>
    <t>Incident response plan; incident classification matrix; escalation procedures; communication plan; tabletop exercise records; incident records; lessons-learned documentation</t>
  </si>
  <si>
    <t>Incident response procedures are documented, but evidence of recurring exercises, lessons-learned activities, and consistent incident documentation is incomplete.</t>
  </si>
  <si>
    <t>Establish recurring incident response exercises and require documented incident reviews, lessons learned, corrective actions, and management reporting.</t>
  </si>
  <si>
    <t>Core response procedures are established, but testing and continuous-improvement evidence is inconsistent.</t>
  </si>
  <si>
    <t>CTRL-036</t>
  </si>
  <si>
    <t>Business Continuity &amp; Disaster Recovery</t>
  </si>
  <si>
    <t>Business Continuity &amp; Resilience</t>
  </si>
  <si>
    <t>ISO A.5.29; ISO A.5.30; NIST PR.IR / RC.RP</t>
  </si>
  <si>
    <t>Information security shall be maintained during disruptions, and ICT readiness shall support business continuity objectives.</t>
  </si>
  <si>
    <t>Axiom maintains business continuity and disaster recovery capabilities designed to preserve critical services and information security during disruptive events.</t>
  </si>
  <si>
    <t>BCP/DR plans; recovery procedures; system recovery priorities; RTO/RPO requirements; DR test records; recovery documentation</t>
  </si>
  <si>
    <t>Maintain BCP/DR plans and periodically validate recovery capabilities against established RTO/RPO requirements.</t>
  </si>
  <si>
    <t>Critical services have documented recovery requirements and established continuity procedures.</t>
  </si>
  <si>
    <t>CTRL-037</t>
  </si>
  <si>
    <t>Third-Party Security Management</t>
  </si>
  <si>
    <t>Third-Party &amp; Supplier Security</t>
  </si>
  <si>
    <t>ISO A.5.19; ISO A.5.20; NIST GV.SC</t>
  </si>
  <si>
    <t>Information security risks associated with supplier relationships shall be identified, assessed, and managed throughout the supplier lifecycle.</t>
  </si>
  <si>
    <t>Axiom evaluates security risks associated with third-party providers before onboarding and periodically throughout the supplier relationship.</t>
  </si>
  <si>
    <t>TPRM policy; vendor inventory; security questionnaires; risk assessments; vendor reviews; contractual security requirements; remediation records</t>
  </si>
  <si>
    <t>Third-party security assessments are performed for higher-risk suppliers, but review frequency and documented risk assessments are inconsistent across the supplier population.</t>
  </si>
  <si>
    <t>Establish formal vendor risk tiers, assessment frequencies, minimum security requirements, and centralized tracking of third-party security findings.</t>
  </si>
  <si>
    <t>Higher-risk vendors receive security review, but lower-tier suppliers are not consistently subject to documented recurring assessments.</t>
  </si>
  <si>
    <t>CTRL-038</t>
  </si>
  <si>
    <t>Security Awareness &amp; Training</t>
  </si>
  <si>
    <t>Security Awareness &amp; Human Factors</t>
  </si>
  <si>
    <t>ISO A.6.3; NIST PR.AT</t>
  </si>
  <si>
    <t>Personnel shall receive appropriate information security awareness, education, and training.</t>
  </si>
  <si>
    <t>Axiom provides security awareness and role-appropriate training covering organizational security policies, phishing, data protection, access security, and incident reporting.</t>
  </si>
  <si>
    <t>Security awareness policy; training materials; completion records; onboarding requirements; refresher training records; awareness communication</t>
  </si>
  <si>
    <t>Maintain recurring awareness training and periodically update content based on emerging threats and organizational risk.</t>
  </si>
  <si>
    <t>Security awareness is incorporated into onboarding and recurring employee training requirements.</t>
  </si>
  <si>
    <t>CTRL-039</t>
  </si>
  <si>
    <t>Compliance &amp; Regulatory Requirements</t>
  </si>
  <si>
    <t>Security Governance &amp; Compliance</t>
  </si>
  <si>
    <t>ISO A.5.31; NIST GV.OC</t>
  </si>
  <si>
    <t>Legal, statutory, regulatory, and contractual information security requirements shall be identified, documented, and kept current.</t>
  </si>
  <si>
    <t>Axiom maintains a process for identifying applicable legal, regulatory, contractual, and customer security requirements and incorporating them into security and compliance activities.</t>
  </si>
  <si>
    <t>Regulatory requirements register; contractual requirements; compliance obligations; legal reviews; customer security requirements; compliance assessments</t>
  </si>
  <si>
    <t>Applicable requirements are identified for major obligations, but evidence of a comprehensive and consistently maintained compliance requirements register is insufficient.</t>
  </si>
  <si>
    <t>Establish a centralized compliance obligations register with defined ownership, review frequency, applicable requirements, evidence, and remediation tracking.</t>
  </si>
  <si>
    <t>Major compliance requirements are tracked, but decentralized documentation makes it difficult to demonstrate complete coverage and ongoing review.</t>
  </si>
  <si>
    <t>CTRL-040</t>
  </si>
  <si>
    <t>Continuous Security Improvement</t>
  </si>
  <si>
    <t>ISO A.10.1; ISO A.9.1; NIST GV.OV</t>
  </si>
  <si>
    <t>The information security management system shall be continually improved based on assessment results, performance information, findings, and organizational changes.</t>
  </si>
  <si>
    <t>Axiom reviews security performance, assessment findings, incidents, risks, and control effectiveness to identify opportunities for continual improvement.</t>
  </si>
  <si>
    <t>Management review records; security metrics; audit findings; corrective action records; risk register updates; improvement plans</t>
  </si>
  <si>
    <t>Security performance and findings are reviewed, but evidence of a consistently documented continuous-improvement process connecting findings to corrective actions is incomplete.</t>
  </si>
  <si>
    <t>Establish a formal continual-improvement process linking assessment findings, security metrics, corrective actions, responsible owners, and management review.</t>
  </si>
  <si>
    <t>Security issues are addressed through individual processes, but centralized tracking of improvement activities is not consistently maintained.</t>
  </si>
  <si>
    <t>Finding ID</t>
  </si>
  <si>
    <t>Severity</t>
  </si>
  <si>
    <t>Root Cause</t>
  </si>
  <si>
    <t>Recommended Remediation</t>
  </si>
  <si>
    <t>Risk Owner</t>
  </si>
  <si>
    <t>Priority</t>
  </si>
  <si>
    <t>Status</t>
  </si>
  <si>
    <t>Evidence / Validation</t>
  </si>
  <si>
    <t>Completion Criteria</t>
  </si>
  <si>
    <t>F-001</t>
  </si>
  <si>
    <t>Security governance documentation was developed around core security functions without a comprehensive responsibility matrix covering all supporting activities.</t>
  </si>
  <si>
    <t>Medium</t>
  </si>
  <si>
    <t>Approved security responsibility matrix; RACI mapping; role descriptions; management approval/acknowledgement.</t>
  </si>
  <si>
    <t>All in-scope security activities have an assigned accountable owner and documented responsibility, with management approval of the responsibility matrix.</t>
  </si>
  <si>
    <t>F-002</t>
  </si>
  <si>
    <t>Segregation-of-duties requirements are not fully formalized across privileged administration and production deployment workflows, particularly where small teams create role overlap.</t>
  </si>
  <si>
    <t>Approved segregation-of-duties matrix; privileged-role assignments; deployment approval records; documented exceptions.</t>
  </si>
  <si>
    <t>Conflicting privileged and deployment duties are formally identified, separated where feasible, and all approved exceptions are documented and reviewed.</t>
  </si>
  <si>
    <t>F-003</t>
  </si>
  <si>
    <t>Threat intelligence is consumed from multiple sources, but ownership, analysis, documentation, and integration into risk decisions are not consistently defined.</t>
  </si>
  <si>
    <t>Threat intelligence procedure; source inventory; analysis records; threat reports; risk/vulnerability records showing intelligence-driven decisions.</t>
  </si>
  <si>
    <t>A documented threat intelligence process is approved and operating, with recurring analysis and evidence that relevant intelligence informs risk and vulnerability decisions.</t>
  </si>
  <si>
    <t>F-004</t>
  </si>
  <si>
    <t>Provisioning processes vary across SaaS and supporting applications, resulting in inconsistent approval and evidence requirements.</t>
  </si>
  <si>
    <t>Access requests/tickets; approval records; IAM logs; role assignments; periodic sample validation.</t>
  </si>
  <si>
    <t>All in-scope access assignments have documented business justification, approval, provisioning evidence, and appropriate role assignment.</t>
  </si>
  <si>
    <t>F-005</t>
  </si>
  <si>
    <t>Privileged access is managed across multiple environments without a single authoritative inventory and consistently scheduled review process.</t>
  </si>
  <si>
    <t>Create a centralized privileged-access inventory and implement recurring access reviews for privileged accounts across cloud and administrative environments.</t>
  </si>
  <si>
    <t>Privileged account inventory; IAM/PAM configuration; access review records; approval/removal tickets; review schedule.</t>
  </si>
  <si>
    <t>All privileged accounts are inventoried, assigned to an owner, reviewed on the defined schedule, and unauthorized or unnecessary access is removed.</t>
  </si>
  <si>
    <t>F-006</t>
  </si>
  <si>
    <t>Joiner, mover, and leaver processes are not integrated consistently with all SaaS and supporting applications, leaving gaps in evidence of timely changes.</t>
  </si>
  <si>
    <t>Standardize joiner/mover/leaver workflows and integrate access-change and termination evidence across all in-scope applications and SaaS platforms.</t>
  </si>
  <si>
    <t>Lifecycle procedure; HR/IT tickets; termination records; access revocation logs; sample testing showing timely changes.</t>
  </si>
  <si>
    <t>Access is provisioned, modified, and revoked within defined timeframes for all in-scope systems, with auditable evidence for sampled lifecycle events.</t>
  </si>
  <si>
    <t>F-007</t>
  </si>
  <si>
    <t>Access review ownership and review cadence are not consistently defined across critical applications and privileged accounts.</t>
  </si>
  <si>
    <t>Establish a formal periodic access-review schedule covering critical applications and privileged accounts, with documented reviewer approval and remediation of exceptions.</t>
  </si>
  <si>
    <t>Access review schedule; completed review records; reviewer approvals; exception/remediation tickets; privileged-access reports.</t>
  </si>
  <si>
    <t>All critical applications and privileged accounts undergo documented reviews at the defined frequency, and identified inappropriate access is remediated.</t>
  </si>
  <si>
    <t>F-008</t>
  </si>
  <si>
    <t>Asset ownership requirements are not consistently maintained for supporting applications and cloud resources.</t>
  </si>
  <si>
    <t>Complete asset ownership assignments for all in-scope applications, cloud resources, and supporting assets and establish an ownership review cadence.</t>
  </si>
  <si>
    <t>Updated asset inventory; ownership records; cloud resource mapping; owner attestations; periodic review records.</t>
  </si>
  <si>
    <t>Every in-scope asset has an accountable owner recorded in the authoritative inventory and ownership records are periodically reviewed.</t>
  </si>
  <si>
    <t>F-009</t>
  </si>
  <si>
    <t>Classification requirements exist but are not embedded consistently into asset and data-management workflows.</t>
  </si>
  <si>
    <t>Apply the approved information classification scheme across business-critical data repositories and information assets, with ownership and periodic review.</t>
  </si>
  <si>
    <t>Classification standard; classified asset/data inventory; repository labels; owner attestations; sample validation.</t>
  </si>
  <si>
    <t>All in-scope information assets and business-critical repositories have an assigned classification consistent with the approved standard.</t>
  </si>
  <si>
    <t>F-010</t>
  </si>
  <si>
    <t>Data-handling practices are not consistently linked to classification requirements across all business systems.</t>
  </si>
  <si>
    <t>Standardize classification-to-handling requirements and validate implementation across business systems and data repositories.</t>
  </si>
  <si>
    <t>Data classification standard; handling procedures; system/data inventory; sample validation; owner attestations.</t>
  </si>
  <si>
    <t>Classified data is handled according to documented requirements across all in-scope systems, with evidence from periodic validation.</t>
  </si>
  <si>
    <t>F-011</t>
  </si>
  <si>
    <t>Retention schedules are not consistently mapped to system-level data stores and disposal processes, limiting evidence of enforcement.</t>
  </si>
  <si>
    <t>Develop system-specific retention schedules and implement documented secure disposal processes with periodic validation across in-scope repositories.</t>
  </si>
  <si>
    <t>Retention schedule; system-to-retention mapping; deletion/disposal logs; legal holds; periodic disposal validation.</t>
  </si>
  <si>
    <t>Approved retention requirements are mapped to all in-scope repositories and secure disposal is performed and evidenced according to schedule, subject to legal holds.</t>
  </si>
  <si>
    <t>F-012</t>
  </si>
  <si>
    <t>DLP coverage has evolved by environment without a complete documented coverage baseline and monitoring standard.</t>
  </si>
  <si>
    <t>Define DLP coverage requirements, extend monitoring to identified gaps, and document recurring DLP monitoring and exception handling.</t>
  </si>
  <si>
    <t>DLP coverage matrix; endpoint/email/cloud DLP configurations; monitoring reports; alerts; exception records.</t>
  </si>
  <si>
    <t>Defined DLP coverage requirements are implemented for identified in-scope channels and recurring monitoring demonstrates alert review and exception handling.</t>
  </si>
  <si>
    <t>F-013</t>
  </si>
  <si>
    <t>Cloud configuration standards are documented, but enforcement and evidence collection are not consistently applied across all AWS resources and accounts.</t>
  </si>
  <si>
    <t>Implement and monitor standardized AWS security configuration baselines across all in-scope resources and document exceptions.</t>
  </si>
  <si>
    <t>AWS configuration baselines; Security Hub/Config findings; remediation records; exception register; periodic compliance reports.</t>
  </si>
  <si>
    <t>All in-scope AWS resources are assessed against approved security baselines, deviations are remediated or formally excepted, and compliance is periodically evidenced.</t>
  </si>
  <si>
    <t>F-014</t>
  </si>
  <si>
    <t>Configuration standards exist, but recurring validation and drift-monitoring processes are not consistently documented across infrastructure components.</t>
  </si>
  <si>
    <t>Implement recurring configuration validation and drift monitoring for in-scope infrastructure and document remediation or approved exceptions.</t>
  </si>
  <si>
    <t>Configuration standards; drift reports; monitoring alerts; validation records; remediation tickets; exception register.</t>
  </si>
  <si>
    <t>In-scope infrastructure is periodically validated against approved configurations, with detected drift remediated or formally excepted.</t>
  </si>
  <si>
    <t>F-015</t>
  </si>
  <si>
    <t>Change controls are defined, but cloud and infrastructure workflows do not consistently enforce or retain approval evidence for all changes.</t>
  </si>
  <si>
    <t>Standardize infrastructure and cloud change workflows so changes require documented review, approval, testing, and rollback planning before implementation.</t>
  </si>
  <si>
    <t>Change-management procedure; change tickets; approval records; deployment logs; test/rollback evidence; sampled change review.</t>
  </si>
  <si>
    <t>All in-scope infrastructure and cloud changes have documented authorization, testing/validation, implementation evidence, and rollback planning as applicable.</t>
  </si>
  <si>
    <t>F-016</t>
  </si>
  <si>
    <t>Secure-development requirements are not consistently integrated into project and release documentation across engineering teams.</t>
  </si>
  <si>
    <t>Integrate security activities and required evidence into the SDLC and release workflow for all applicable development projects.</t>
  </si>
  <si>
    <t>SDLC procedure; project security checklists; threat-modeling/security review records; release approvals; sample project evidence.</t>
  </si>
  <si>
    <t>All applicable development projects and releases complete required security activities with retained evidence before production deployment.</t>
  </si>
  <si>
    <t>F-017</t>
  </si>
  <si>
    <t>Security testing requirements and coverage criteria are not consistently enforced across applications, APIs, and release cycles.</t>
  </si>
  <si>
    <t>Define risk-based application and API security testing requirements and integrate them into release workflows with documented results and remediation tracking.</t>
  </si>
  <si>
    <t>Security testing standard; SAST/DAST/API testing results; penetration test reports; release records; remediation tickets.</t>
  </si>
  <si>
    <t>All in-scope applications and APIs receive required security testing at defined points, findings are tracked, and release decisions are documented.</t>
  </si>
  <si>
    <t>F-018</t>
  </si>
  <si>
    <t>Secure coding guidance is available but is not consistently embedded into engineering workflows, training, or review evidence.</t>
  </si>
  <si>
    <t>Integrate secure coding standards into development workflows, provide recurring developer training, and require evidence through code review or automated checks.</t>
  </si>
  <si>
    <t>Secure coding standard; training records; code-review records; automated scanning results; exception records.</t>
  </si>
  <si>
    <t>All engineering teams apply approved secure coding requirements, with training and code-review or automated validation evidence retained.</t>
  </si>
  <si>
    <t>F-019</t>
  </si>
  <si>
    <t>Repository governance is stronger for primary repositories than supporting repositories, and recurring access reviews are not consistently evidenced.</t>
  </si>
  <si>
    <t>Extend repository access reviews and branch-protection requirements to all in-scope repositories and document recurring validation.</t>
  </si>
  <si>
    <t>Repository inventory; access reviews; branch-protection settings; privileged repository reports; remediation records.</t>
  </si>
  <si>
    <t>All in-scope repositories meet approved access and branch-protection requirements, and access is periodically reviewed with exceptions documented.</t>
  </si>
  <si>
    <t>F-020</t>
  </si>
  <si>
    <t>Vulnerability management processes are not consistently linked to complete asset coverage, assigned ownership, prioritization, and remediation tracking.</t>
  </si>
  <si>
    <t>Establish an end-to-end vulnerability management workflow covering asset coverage, risk-based prioritization, ownership, remediation tracking, and reporting.</t>
  </si>
  <si>
    <t>Vulnerability management procedure; scan/assessment results; asset coverage reports; risk ratings; remediation tickets; KPI/KRI reports.</t>
  </si>
  <si>
    <t>All in-scope assets are covered by vulnerability assessments, findings have assigned owners and priorities, and remediation status is tracked to closure.</t>
  </si>
  <si>
    <t>F-021</t>
  </si>
  <si>
    <t>Defined remediation SLAs and escalation paths are incomplete or inconsistently applied across asset groups and vulnerability severities.</t>
  </si>
  <si>
    <t>Define risk-based vulnerability remediation SLAs and escalation requirements and enforce tracking against those thresholds.</t>
  </si>
  <si>
    <t>Vulnerability remediation standard; SLA matrix; remediation tickets; aging reports; escalation records; exception approvals.</t>
  </si>
  <si>
    <t>All vulnerability findings have defined remediation deadlines based on severity, overdue items are escalated, and approved exceptions are documented.</t>
  </si>
  <si>
    <t>F-022</t>
  </si>
  <si>
    <t>Security event handling varies by alert type, resulting in inconsistent documentation of analyst analysis, disposition, and escalation.</t>
  </si>
  <si>
    <t>Standardize alert triage, analysis, disposition, and escalation requirements across defined security event types and retain investigation records.</t>
  </si>
  <si>
    <t>Alert-handling procedure; SIEM/monitoring records; analyst case notes; disposition codes; escalation records; sample QA reviews.</t>
  </si>
  <si>
    <t>Security alerts across defined event types have documented triage, analysis, disposition, and escalation where required.</t>
  </si>
  <si>
    <t>F-023</t>
  </si>
  <si>
    <t>Incident response documentation exists, but recurring exercises and post-incident improvement activities are not consistently evidenced.</t>
  </si>
  <si>
    <t>Establish a recurring incident-response exercise schedule and formalize lessons-learned and corrective-action tracking after exercises and incidents.</t>
  </si>
  <si>
    <t>Incident response plan; exercise calendar and reports; incident records; lessons-learned reports; corrective-action tracker.</t>
  </si>
  <si>
    <t>Required incident-response exercises occur on schedule, results and lessons learned are documented, and corrective actions are tracked to closure.</t>
  </si>
  <si>
    <t>F-024</t>
  </si>
  <si>
    <t>Supplier risk tiering and reassessment requirements are not consistently applied across the full supplier population.</t>
  </si>
  <si>
    <t>Formalize supplier risk tiering, assessment frequency, reassessment triggers, and documented security review requirements for all in-scope suppliers.</t>
  </si>
  <si>
    <t>Supplier inventory; risk-tiering methodology; security questionnaires/assessments; reassessment schedule; exceptions and approvals.</t>
  </si>
  <si>
    <t>All in-scope suppliers are risk-tiered, assessed at the defined frequency, and have documented security risk decisions and remediation where required.</t>
  </si>
  <si>
    <t>F-025</t>
  </si>
  <si>
    <t>Compliance obligations are tracked across multiple sources without a single authoritative register and consistent ownership/review cadence.</t>
  </si>
  <si>
    <t>Create and maintain a centralized compliance requirements register covering applicable laws, regulations, contractual obligations, and standards, with assigned owners and review dates.</t>
  </si>
  <si>
    <t>Compliance obligations register; legal/regulatory mapping; assigned owners; review records; compliance assessments.</t>
  </si>
  <si>
    <t>All identified applicable obligations are recorded in an authoritative register, assigned to owners, mapped to relevant controls, and reviewed on a defined cadence.</t>
  </si>
  <si>
    <t>F-026</t>
  </si>
  <si>
    <t>Corrective actions are tracked through multiple processes without a consistently documented continuous-improvement lifecycle linking findings, actions, owners, and effectiveness validation.</t>
  </si>
  <si>
    <t>Establish a formal continuous-improvement process linking audit findings, incidents, risks, metrics, corrective actions, ownership, deadlines, and effectiveness validation.</t>
  </si>
  <si>
    <t>Continuous-improvement procedure; corrective-action register; management review records; metrics; effectiveness validation evidence.</t>
  </si>
  <si>
    <t>Security findings and improvement opportunities are consistently converted into tracked corrective actions with owners, deadlines, closure evidence, and effectiveness validation.</t>
  </si>
  <si>
    <t>Metric</t>
  </si>
  <si>
    <t>Value</t>
  </si>
  <si>
    <t>Organization</t>
  </si>
  <si>
    <t>Axiom AI Technologies</t>
  </si>
  <si>
    <t>Assessment</t>
  </si>
  <si>
    <t>Security Controls Assessment &amp; Gap Analysis</t>
  </si>
  <si>
    <t>Framework References</t>
  </si>
  <si>
    <t>ISO/IEC 27001:2022; NIST CSF; NIST SP 800-53</t>
  </si>
  <si>
    <t>Total Controls</t>
  </si>
  <si>
    <t>Effective Controls</t>
  </si>
  <si>
    <t>Partially Effective Controls</t>
  </si>
  <si>
    <t>Ineffective Controls</t>
  </si>
  <si>
    <t>Not Applicable Controls</t>
  </si>
  <si>
    <t>Total Findings</t>
  </si>
  <si>
    <t>Critical Findings</t>
  </si>
  <si>
    <t>High Findings</t>
  </si>
  <si>
    <t>Moderate Findings</t>
  </si>
  <si>
    <t>Low Findings</t>
  </si>
  <si>
    <t>Planned</t>
  </si>
  <si>
    <t>Controls In Progress</t>
  </si>
  <si>
    <t>Controls Not Started</t>
  </si>
  <si>
    <t>Control Effectiveness Rate</t>
  </si>
  <si>
    <t>Validated Controls</t>
  </si>
  <si>
    <t>CTRL-029</t>
  </si>
  <si>
    <t>Remediation Status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</si>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</sst>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4" fontId="1" fillId="2" borderId="1" xfId="0" applyNumberFormat="1" applyFont="1" applyFill="1" applyBorder="1" applyAlignment="1">
      <alignment vertical="top" wrapText="1"/>
    </xf>
    <xf numFmtId="9" fontId="0" fillId="0" borderId="0" xfId="1" applyFont="1"/>
    <xf numFmtId="0" fontId="3" fillId="2" borderId="1" xfId="0" applyFont="1" applyFill="1" applyBorder="1" applyAlignment="1">
      <alignment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workbookViewId="0">
      <pane ySplit="1" topLeftCell="A27" activePane="bottomLeft" state="frozen"/>
      <selection pane="bottomLeft" activeCell="A30" sqref="A30"/>
    </sheetView>
  </sheetViews>
  <sheetFormatPr defaultColWidth="100.77734375" defaultRowHeight="14.4" x14ac:dyDescent="0.3"/>
  <cols>
    <col min="1" max="1" width="11.88671875" style="3" customWidth="1"/>
    <col min="2" max="2" width="19" style="3" customWidth="1"/>
    <col min="3" max="3" width="31.21875" style="3" bestFit="1" customWidth="1"/>
    <col min="4" max="4" width="28.77734375" style="3" bestFit="1" customWidth="1"/>
    <col min="5" max="5" width="21.109375" style="3" customWidth="1"/>
    <col min="6" max="6" width="46.5546875" style="3" customWidth="1"/>
    <col min="7" max="7" width="70.44140625" style="3" customWidth="1"/>
    <col min="8" max="8" width="15.5546875" style="3" bestFit="1" customWidth="1"/>
    <col min="9" max="9" width="55.33203125" style="3" customWidth="1"/>
    <col min="10" max="10" width="16.5546875" style="3" bestFit="1" customWidth="1"/>
    <col min="11" max="11" width="18.77734375" style="3" bestFit="1" customWidth="1"/>
    <col min="12" max="12" width="33" style="3" bestFit="1" customWidth="1"/>
    <col min="13" max="13" width="16.6640625" style="3" bestFit="1" customWidth="1"/>
    <col min="14" max="14" width="53.5546875" style="3" customWidth="1"/>
    <col min="15" max="15" width="52.5546875" style="3" customWidth="1"/>
    <col min="16" max="16" width="16.109375" style="4" customWidth="1"/>
    <col min="17" max="17" width="17.5546875" style="3" bestFit="1" customWidth="1"/>
    <col min="18" max="18" width="100.77734375" style="3" customWidth="1"/>
    <col min="19" max="16384" width="100.77734375" style="3"/>
  </cols>
  <sheetData>
    <row r="1" spans="1:18" x14ac:dyDescent="0.3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5" t="s">
        <v>14</v>
      </c>
      <c r="Q1" s="1" t="s">
        <v>15</v>
      </c>
    </row>
    <row r="2" spans="1:18" ht="43.2" customHeight="1" x14ac:dyDescent="0.3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N2" s="3" t="s">
        <v>27</v>
      </c>
      <c r="O2" s="3" t="s">
        <v>28</v>
      </c>
      <c r="Q2" s="3" t="s">
        <v>29</v>
      </c>
      <c r="R2" s="3">
        <v>1</v>
      </c>
    </row>
    <row r="3" spans="1:18" ht="57.6" customHeight="1" x14ac:dyDescent="0.3">
      <c r="A3" s="3" t="s">
        <v>30</v>
      </c>
      <c r="B3" s="3" t="s">
        <v>31</v>
      </c>
      <c r="C3" s="3" t="s">
        <v>18</v>
      </c>
      <c r="D3" s="3" t="s">
        <v>19</v>
      </c>
      <c r="E3" s="3" t="s">
        <v>32</v>
      </c>
      <c r="F3" s="3" t="s">
        <v>33</v>
      </c>
      <c r="G3" s="3" t="s">
        <v>34</v>
      </c>
      <c r="H3" s="3" t="s">
        <v>23</v>
      </c>
      <c r="I3" s="3" t="s">
        <v>35</v>
      </c>
      <c r="J3" s="3" t="s">
        <v>36</v>
      </c>
      <c r="K3" s="3" t="s">
        <v>37</v>
      </c>
      <c r="L3" s="3" t="s">
        <v>38</v>
      </c>
      <c r="M3" s="3" t="s">
        <v>39</v>
      </c>
      <c r="N3" s="3" t="s">
        <v>40</v>
      </c>
      <c r="O3" s="3" t="s">
        <v>41</v>
      </c>
      <c r="P3" s="4">
        <v>46356</v>
      </c>
      <c r="Q3" s="3" t="s">
        <v>42</v>
      </c>
    </row>
    <row r="4" spans="1:18" ht="57.6" customHeight="1" x14ac:dyDescent="0.3">
      <c r="A4" s="3" t="s">
        <v>43</v>
      </c>
      <c r="B4" s="3" t="s">
        <v>44</v>
      </c>
      <c r="C4" s="3" t="s">
        <v>18</v>
      </c>
      <c r="D4" s="3" t="s">
        <v>19</v>
      </c>
      <c r="E4" s="3" t="s">
        <v>45</v>
      </c>
      <c r="F4" s="3" t="s">
        <v>46</v>
      </c>
      <c r="G4" s="3" t="s">
        <v>47</v>
      </c>
      <c r="H4" s="3" t="s">
        <v>23</v>
      </c>
      <c r="I4" s="3" t="s">
        <v>48</v>
      </c>
      <c r="J4" s="3" t="s">
        <v>36</v>
      </c>
      <c r="K4" s="3" t="s">
        <v>37</v>
      </c>
      <c r="L4" s="3" t="s">
        <v>49</v>
      </c>
      <c r="M4" s="3" t="s">
        <v>50</v>
      </c>
      <c r="N4" s="3" t="s">
        <v>51</v>
      </c>
      <c r="O4" s="3" t="s">
        <v>52</v>
      </c>
      <c r="P4" s="4">
        <v>46371</v>
      </c>
      <c r="Q4" s="3" t="s">
        <v>42</v>
      </c>
    </row>
    <row r="5" spans="1:18" ht="43.2" customHeight="1" x14ac:dyDescent="0.3">
      <c r="A5" s="3" t="s">
        <v>53</v>
      </c>
      <c r="B5" s="3" t="s">
        <v>54</v>
      </c>
      <c r="C5" s="3" t="s">
        <v>18</v>
      </c>
      <c r="D5" s="3" t="s">
        <v>19</v>
      </c>
      <c r="E5" s="3" t="s">
        <v>55</v>
      </c>
      <c r="F5" s="3" t="s">
        <v>56</v>
      </c>
      <c r="G5" s="3" t="s">
        <v>57</v>
      </c>
      <c r="H5" s="3" t="s">
        <v>23</v>
      </c>
      <c r="I5" s="3" t="s">
        <v>58</v>
      </c>
      <c r="J5" s="3" t="s">
        <v>25</v>
      </c>
      <c r="K5" s="3" t="s">
        <v>26</v>
      </c>
      <c r="N5" s="3" t="s">
        <v>59</v>
      </c>
      <c r="O5" s="3" t="s">
        <v>60</v>
      </c>
      <c r="Q5" s="3" t="s">
        <v>29</v>
      </c>
      <c r="R5" s="3">
        <v>2</v>
      </c>
    </row>
    <row r="6" spans="1:18" ht="86.4" customHeight="1" x14ac:dyDescent="0.3">
      <c r="A6" s="3" t="s">
        <v>61</v>
      </c>
      <c r="B6" s="3" t="s">
        <v>62</v>
      </c>
      <c r="C6" s="3" t="s">
        <v>18</v>
      </c>
      <c r="D6" s="3" t="s">
        <v>19</v>
      </c>
      <c r="E6" s="3" t="s">
        <v>63</v>
      </c>
      <c r="F6" s="3" t="s">
        <v>64</v>
      </c>
      <c r="G6" s="3" t="s">
        <v>65</v>
      </c>
      <c r="H6" s="3" t="s">
        <v>23</v>
      </c>
      <c r="I6" s="3" t="s">
        <v>66</v>
      </c>
      <c r="J6" s="3" t="s">
        <v>67</v>
      </c>
      <c r="K6" s="3" t="s">
        <v>68</v>
      </c>
      <c r="L6" s="3" t="s">
        <v>69</v>
      </c>
      <c r="M6" s="3" t="s">
        <v>50</v>
      </c>
      <c r="N6" s="3" t="s">
        <v>70</v>
      </c>
      <c r="O6" s="3" t="s">
        <v>71</v>
      </c>
      <c r="P6" s="4">
        <v>46387</v>
      </c>
      <c r="Q6" s="3" t="s">
        <v>42</v>
      </c>
    </row>
    <row r="7" spans="1:18" ht="57.6" customHeight="1" x14ac:dyDescent="0.3">
      <c r="A7" s="3" t="s">
        <v>72</v>
      </c>
      <c r="B7" s="3" t="s">
        <v>73</v>
      </c>
      <c r="C7" s="3" t="s">
        <v>74</v>
      </c>
      <c r="D7" s="3" t="s">
        <v>19</v>
      </c>
      <c r="E7" s="3" t="s">
        <v>75</v>
      </c>
      <c r="F7" s="3" t="s">
        <v>76</v>
      </c>
      <c r="G7" s="3" t="s">
        <v>77</v>
      </c>
      <c r="H7" s="3" t="s">
        <v>78</v>
      </c>
      <c r="I7" s="3" t="s">
        <v>79</v>
      </c>
      <c r="J7" s="3" t="s">
        <v>25</v>
      </c>
      <c r="K7" s="3" t="s">
        <v>26</v>
      </c>
      <c r="N7" s="3" t="s">
        <v>80</v>
      </c>
      <c r="O7" s="3" t="s">
        <v>81</v>
      </c>
      <c r="Q7" s="3" t="s">
        <v>29</v>
      </c>
      <c r="R7" s="3">
        <v>3</v>
      </c>
    </row>
    <row r="8" spans="1:18" ht="57.6" customHeight="1" x14ac:dyDescent="0.3">
      <c r="A8" s="3" t="s">
        <v>82</v>
      </c>
      <c r="B8" s="3" t="s">
        <v>83</v>
      </c>
      <c r="C8" s="3" t="s">
        <v>74</v>
      </c>
      <c r="D8" s="3" t="s">
        <v>19</v>
      </c>
      <c r="E8" s="3" t="s">
        <v>84</v>
      </c>
      <c r="F8" s="3" t="s">
        <v>85</v>
      </c>
      <c r="G8" s="3" t="s">
        <v>86</v>
      </c>
      <c r="H8" s="3" t="s">
        <v>78</v>
      </c>
      <c r="I8" s="3" t="s">
        <v>87</v>
      </c>
      <c r="J8" s="3" t="s">
        <v>36</v>
      </c>
      <c r="K8" s="3" t="s">
        <v>37</v>
      </c>
      <c r="L8" s="3" t="s">
        <v>88</v>
      </c>
      <c r="M8" s="3" t="s">
        <v>39</v>
      </c>
      <c r="N8" s="3" t="s">
        <v>89</v>
      </c>
      <c r="O8" s="3" t="s">
        <v>90</v>
      </c>
      <c r="P8" s="4">
        <v>46371</v>
      </c>
      <c r="Q8" s="3" t="s">
        <v>42</v>
      </c>
    </row>
    <row r="9" spans="1:18" ht="57.6" customHeight="1" x14ac:dyDescent="0.3">
      <c r="A9" s="3" t="s">
        <v>91</v>
      </c>
      <c r="B9" s="3" t="s">
        <v>92</v>
      </c>
      <c r="C9" s="3" t="s">
        <v>74</v>
      </c>
      <c r="D9" s="3" t="s">
        <v>19</v>
      </c>
      <c r="E9" s="3" t="s">
        <v>93</v>
      </c>
      <c r="F9" s="3" t="s">
        <v>94</v>
      </c>
      <c r="G9" s="3" t="s">
        <v>95</v>
      </c>
      <c r="H9" s="3" t="s">
        <v>78</v>
      </c>
      <c r="I9" s="3" t="s">
        <v>96</v>
      </c>
      <c r="J9" s="3" t="s">
        <v>25</v>
      </c>
      <c r="K9" s="3" t="s">
        <v>26</v>
      </c>
      <c r="N9" s="3" t="s">
        <v>97</v>
      </c>
      <c r="O9" s="3" t="s">
        <v>98</v>
      </c>
      <c r="Q9" s="3" t="s">
        <v>29</v>
      </c>
      <c r="R9" s="3">
        <v>4</v>
      </c>
    </row>
    <row r="10" spans="1:18" ht="72" customHeight="1" x14ac:dyDescent="0.3">
      <c r="A10" s="3" t="s">
        <v>99</v>
      </c>
      <c r="B10" s="3" t="s">
        <v>100</v>
      </c>
      <c r="C10" s="3" t="s">
        <v>74</v>
      </c>
      <c r="D10" s="3" t="s">
        <v>19</v>
      </c>
      <c r="E10" s="3" t="s">
        <v>101</v>
      </c>
      <c r="F10" s="3" t="s">
        <v>102</v>
      </c>
      <c r="G10" s="3" t="s">
        <v>103</v>
      </c>
      <c r="H10" s="3" t="s">
        <v>104</v>
      </c>
      <c r="I10" s="3" t="s">
        <v>105</v>
      </c>
      <c r="J10" s="3" t="s">
        <v>67</v>
      </c>
      <c r="K10" s="3" t="s">
        <v>68</v>
      </c>
      <c r="L10" s="3" t="s">
        <v>106</v>
      </c>
      <c r="M10" s="3" t="s">
        <v>50</v>
      </c>
      <c r="N10" s="3" t="s">
        <v>107</v>
      </c>
      <c r="O10" s="3" t="s">
        <v>108</v>
      </c>
      <c r="P10" s="4">
        <v>46402</v>
      </c>
      <c r="Q10" s="3" t="s">
        <v>42</v>
      </c>
    </row>
    <row r="11" spans="1:18" ht="57.6" customHeight="1" x14ac:dyDescent="0.3">
      <c r="A11" s="3" t="s">
        <v>109</v>
      </c>
      <c r="B11" s="3" t="s">
        <v>110</v>
      </c>
      <c r="C11" s="3" t="s">
        <v>74</v>
      </c>
      <c r="D11" s="3" t="s">
        <v>19</v>
      </c>
      <c r="E11" s="3" t="s">
        <v>111</v>
      </c>
      <c r="F11" s="3" t="s">
        <v>112</v>
      </c>
      <c r="G11" s="3" t="s">
        <v>113</v>
      </c>
      <c r="H11" s="3" t="s">
        <v>114</v>
      </c>
      <c r="I11" s="3" t="s">
        <v>115</v>
      </c>
      <c r="J11" s="3" t="s">
        <v>36</v>
      </c>
      <c r="K11" s="3" t="s">
        <v>37</v>
      </c>
      <c r="L11" s="3" t="s">
        <v>116</v>
      </c>
      <c r="M11" s="3" t="s">
        <v>50</v>
      </c>
      <c r="N11" s="3" t="s">
        <v>117</v>
      </c>
      <c r="O11" s="3" t="s">
        <v>118</v>
      </c>
      <c r="P11" s="4">
        <v>46418</v>
      </c>
      <c r="Q11" s="3" t="s">
        <v>42</v>
      </c>
    </row>
    <row r="12" spans="1:18" ht="57.6" customHeight="1" x14ac:dyDescent="0.3">
      <c r="A12" s="3" t="s">
        <v>119</v>
      </c>
      <c r="B12" s="3" t="s">
        <v>120</v>
      </c>
      <c r="C12" s="3" t="s">
        <v>74</v>
      </c>
      <c r="D12" s="3" t="s">
        <v>19</v>
      </c>
      <c r="E12" s="3" t="s">
        <v>111</v>
      </c>
      <c r="F12" s="3" t="s">
        <v>121</v>
      </c>
      <c r="G12" s="3" t="s">
        <v>122</v>
      </c>
      <c r="H12" s="3" t="s">
        <v>78</v>
      </c>
      <c r="I12" s="3" t="s">
        <v>123</v>
      </c>
      <c r="J12" s="3" t="s">
        <v>67</v>
      </c>
      <c r="K12" s="3" t="s">
        <v>68</v>
      </c>
      <c r="L12" s="3" t="s">
        <v>124</v>
      </c>
      <c r="M12" s="3" t="s">
        <v>50</v>
      </c>
      <c r="N12" s="3" t="s">
        <v>125</v>
      </c>
      <c r="O12" s="3" t="s">
        <v>126</v>
      </c>
      <c r="P12" s="4">
        <v>46433</v>
      </c>
      <c r="Q12" s="3" t="s">
        <v>42</v>
      </c>
    </row>
    <row r="13" spans="1:18" ht="43.2" customHeight="1" x14ac:dyDescent="0.3">
      <c r="A13" s="3" t="s">
        <v>127</v>
      </c>
      <c r="B13" s="3" t="s">
        <v>128</v>
      </c>
      <c r="C13" s="3" t="s">
        <v>129</v>
      </c>
      <c r="D13" s="3" t="s">
        <v>19</v>
      </c>
      <c r="E13" s="3" t="s">
        <v>130</v>
      </c>
      <c r="F13" s="3" t="s">
        <v>131</v>
      </c>
      <c r="G13" s="3" t="s">
        <v>132</v>
      </c>
      <c r="H13" s="3" t="s">
        <v>114</v>
      </c>
      <c r="I13" s="3" t="s">
        <v>133</v>
      </c>
      <c r="J13" s="3" t="s">
        <v>25</v>
      </c>
      <c r="K13" s="3" t="s">
        <v>26</v>
      </c>
      <c r="N13" s="3" t="s">
        <v>134</v>
      </c>
      <c r="O13" s="3" t="s">
        <v>135</v>
      </c>
      <c r="Q13" s="3" t="s">
        <v>29</v>
      </c>
      <c r="R13" s="3">
        <v>5</v>
      </c>
    </row>
    <row r="14" spans="1:18" ht="57.6" customHeight="1" x14ac:dyDescent="0.3">
      <c r="A14" s="3" t="s">
        <v>136</v>
      </c>
      <c r="B14" s="3" t="s">
        <v>137</v>
      </c>
      <c r="C14" s="3" t="s">
        <v>129</v>
      </c>
      <c r="D14" s="3" t="s">
        <v>19</v>
      </c>
      <c r="E14" s="3" t="s">
        <v>130</v>
      </c>
      <c r="F14" s="3" t="s">
        <v>138</v>
      </c>
      <c r="G14" s="3" t="s">
        <v>139</v>
      </c>
      <c r="H14" s="3" t="s">
        <v>114</v>
      </c>
      <c r="I14" s="3" t="s">
        <v>140</v>
      </c>
      <c r="J14" s="3" t="s">
        <v>36</v>
      </c>
      <c r="K14" s="3" t="s">
        <v>37</v>
      </c>
      <c r="L14" s="3" t="s">
        <v>141</v>
      </c>
      <c r="M14" s="3" t="s">
        <v>39</v>
      </c>
      <c r="N14" s="3" t="s">
        <v>142</v>
      </c>
      <c r="O14" s="3" t="s">
        <v>143</v>
      </c>
      <c r="P14" s="4">
        <v>46402</v>
      </c>
      <c r="Q14" s="3" t="s">
        <v>42</v>
      </c>
    </row>
    <row r="15" spans="1:18" ht="72" customHeight="1" x14ac:dyDescent="0.3">
      <c r="A15" s="3" t="s">
        <v>144</v>
      </c>
      <c r="B15" s="3" t="s">
        <v>145</v>
      </c>
      <c r="C15" s="3" t="s">
        <v>129</v>
      </c>
      <c r="D15" s="3" t="s">
        <v>19</v>
      </c>
      <c r="E15" s="3" t="s">
        <v>146</v>
      </c>
      <c r="F15" s="3" t="s">
        <v>147</v>
      </c>
      <c r="G15" s="3" t="s">
        <v>148</v>
      </c>
      <c r="H15" s="3" t="s">
        <v>149</v>
      </c>
      <c r="I15" s="3" t="s">
        <v>150</v>
      </c>
      <c r="J15" s="3" t="s">
        <v>67</v>
      </c>
      <c r="K15" s="3" t="s">
        <v>68</v>
      </c>
      <c r="L15" s="3" t="s">
        <v>151</v>
      </c>
      <c r="M15" s="3" t="s">
        <v>50</v>
      </c>
      <c r="N15" s="3" t="s">
        <v>152</v>
      </c>
      <c r="O15" s="3" t="s">
        <v>153</v>
      </c>
      <c r="P15" s="4">
        <v>46419</v>
      </c>
      <c r="Q15" s="3" t="s">
        <v>42</v>
      </c>
    </row>
    <row r="16" spans="1:18" ht="43.2" customHeight="1" x14ac:dyDescent="0.3">
      <c r="A16" s="3" t="s">
        <v>154</v>
      </c>
      <c r="B16" s="3" t="s">
        <v>155</v>
      </c>
      <c r="C16" s="3" t="s">
        <v>129</v>
      </c>
      <c r="D16" s="3" t="s">
        <v>19</v>
      </c>
      <c r="E16" s="3" t="s">
        <v>156</v>
      </c>
      <c r="F16" s="3" t="s">
        <v>157</v>
      </c>
      <c r="G16" s="3" t="s">
        <v>158</v>
      </c>
      <c r="H16" s="3" t="s">
        <v>149</v>
      </c>
      <c r="I16" s="3" t="s">
        <v>159</v>
      </c>
      <c r="J16" s="3" t="s">
        <v>25</v>
      </c>
      <c r="K16" s="3" t="s">
        <v>26</v>
      </c>
      <c r="N16" s="3" t="s">
        <v>160</v>
      </c>
      <c r="O16" s="3" t="s">
        <v>161</v>
      </c>
      <c r="Q16" s="3" t="s">
        <v>29</v>
      </c>
      <c r="R16" s="3">
        <v>6</v>
      </c>
    </row>
    <row r="17" spans="1:18" ht="57.6" customHeight="1" x14ac:dyDescent="0.3">
      <c r="A17" s="3" t="s">
        <v>162</v>
      </c>
      <c r="B17" s="3" t="s">
        <v>163</v>
      </c>
      <c r="C17" s="3" t="s">
        <v>164</v>
      </c>
      <c r="D17" s="3" t="s">
        <v>19</v>
      </c>
      <c r="E17" s="3" t="s">
        <v>165</v>
      </c>
      <c r="F17" s="3" t="s">
        <v>166</v>
      </c>
      <c r="G17" s="3" t="s">
        <v>167</v>
      </c>
      <c r="H17" s="3" t="s">
        <v>149</v>
      </c>
      <c r="I17" s="3" t="s">
        <v>168</v>
      </c>
      <c r="J17" s="3" t="s">
        <v>36</v>
      </c>
      <c r="K17" s="3" t="s">
        <v>37</v>
      </c>
      <c r="L17" s="3" t="s">
        <v>169</v>
      </c>
      <c r="M17" s="3" t="s">
        <v>39</v>
      </c>
      <c r="N17" s="3" t="s">
        <v>170</v>
      </c>
      <c r="O17" s="3" t="s">
        <v>171</v>
      </c>
      <c r="P17" s="4">
        <v>46433</v>
      </c>
      <c r="Q17" s="3" t="s">
        <v>42</v>
      </c>
    </row>
    <row r="18" spans="1:18" ht="43.2" customHeight="1" x14ac:dyDescent="0.3">
      <c r="A18" s="3" t="s">
        <v>172</v>
      </c>
      <c r="B18" s="3" t="s">
        <v>173</v>
      </c>
      <c r="C18" s="3" t="s">
        <v>164</v>
      </c>
      <c r="D18" s="3" t="s">
        <v>19</v>
      </c>
      <c r="E18" s="3" t="s">
        <v>174</v>
      </c>
      <c r="F18" s="3" t="s">
        <v>175</v>
      </c>
      <c r="G18" s="3" t="s">
        <v>176</v>
      </c>
      <c r="H18" s="3" t="s">
        <v>104</v>
      </c>
      <c r="I18" s="3" t="s">
        <v>177</v>
      </c>
      <c r="J18" s="3" t="s">
        <v>25</v>
      </c>
      <c r="K18" s="3" t="s">
        <v>26</v>
      </c>
      <c r="N18" s="3" t="s">
        <v>178</v>
      </c>
      <c r="O18" s="3" t="s">
        <v>179</v>
      </c>
      <c r="Q18" s="3" t="s">
        <v>29</v>
      </c>
      <c r="R18" s="3">
        <v>7</v>
      </c>
    </row>
    <row r="19" spans="1:18" ht="100.8" customHeight="1" x14ac:dyDescent="0.3">
      <c r="A19" s="3" t="s">
        <v>180</v>
      </c>
      <c r="B19" s="3" t="s">
        <v>181</v>
      </c>
      <c r="C19" s="3" t="s">
        <v>164</v>
      </c>
      <c r="D19" s="3" t="s">
        <v>19</v>
      </c>
      <c r="E19" s="3" t="s">
        <v>182</v>
      </c>
      <c r="F19" s="3" t="s">
        <v>183</v>
      </c>
      <c r="G19" s="3" t="s">
        <v>184</v>
      </c>
      <c r="H19" s="3" t="s">
        <v>185</v>
      </c>
      <c r="I19" s="3" t="s">
        <v>186</v>
      </c>
      <c r="J19" s="3" t="s">
        <v>67</v>
      </c>
      <c r="K19" s="3" t="s">
        <v>68</v>
      </c>
      <c r="L19" s="3" t="s">
        <v>187</v>
      </c>
      <c r="M19" s="3" t="s">
        <v>50</v>
      </c>
      <c r="N19" s="3" t="s">
        <v>188</v>
      </c>
      <c r="O19" s="3" t="s">
        <v>189</v>
      </c>
      <c r="P19" s="4">
        <v>46447</v>
      </c>
      <c r="Q19" s="3" t="s">
        <v>190</v>
      </c>
    </row>
    <row r="20" spans="1:18" ht="86.4" customHeight="1" x14ac:dyDescent="0.3">
      <c r="A20" s="3" t="s">
        <v>191</v>
      </c>
      <c r="B20" s="3" t="s">
        <v>192</v>
      </c>
      <c r="C20" s="3" t="s">
        <v>164</v>
      </c>
      <c r="D20" s="3" t="s">
        <v>19</v>
      </c>
      <c r="E20" s="3" t="s">
        <v>193</v>
      </c>
      <c r="F20" s="3" t="s">
        <v>194</v>
      </c>
      <c r="G20" s="3" t="s">
        <v>195</v>
      </c>
      <c r="H20" s="3" t="s">
        <v>196</v>
      </c>
      <c r="I20" s="3" t="s">
        <v>197</v>
      </c>
      <c r="J20" s="3" t="s">
        <v>36</v>
      </c>
      <c r="K20" s="3" t="s">
        <v>37</v>
      </c>
      <c r="L20" s="3" t="s">
        <v>198</v>
      </c>
      <c r="M20" s="3" t="s">
        <v>50</v>
      </c>
      <c r="N20" s="3" t="s">
        <v>199</v>
      </c>
      <c r="O20" s="3" t="s">
        <v>200</v>
      </c>
      <c r="P20" s="4">
        <v>46461</v>
      </c>
      <c r="Q20" s="3" t="s">
        <v>190</v>
      </c>
    </row>
    <row r="21" spans="1:18" ht="43.2" customHeight="1" x14ac:dyDescent="0.3">
      <c r="A21" s="3" t="s">
        <v>201</v>
      </c>
      <c r="B21" s="3" t="s">
        <v>202</v>
      </c>
      <c r="C21" s="3" t="s">
        <v>164</v>
      </c>
      <c r="D21" s="3" t="s">
        <v>19</v>
      </c>
      <c r="E21" s="3" t="s">
        <v>203</v>
      </c>
      <c r="F21" s="3" t="s">
        <v>204</v>
      </c>
      <c r="G21" s="3" t="s">
        <v>205</v>
      </c>
      <c r="H21" s="3" t="s">
        <v>206</v>
      </c>
      <c r="I21" s="3" t="s">
        <v>207</v>
      </c>
      <c r="J21" s="3" t="s">
        <v>25</v>
      </c>
      <c r="K21" s="3" t="s">
        <v>26</v>
      </c>
      <c r="N21" s="3" t="s">
        <v>208</v>
      </c>
      <c r="O21" s="3" t="s">
        <v>209</v>
      </c>
      <c r="Q21" s="3" t="s">
        <v>29</v>
      </c>
      <c r="R21" s="3">
        <v>8</v>
      </c>
    </row>
    <row r="22" spans="1:18" ht="72" customHeight="1" x14ac:dyDescent="0.3">
      <c r="A22" s="3" t="s">
        <v>210</v>
      </c>
      <c r="B22" s="3" t="s">
        <v>211</v>
      </c>
      <c r="C22" s="3" t="s">
        <v>212</v>
      </c>
      <c r="D22" s="3" t="s">
        <v>19</v>
      </c>
      <c r="E22" s="3" t="s">
        <v>213</v>
      </c>
      <c r="F22" s="3" t="s">
        <v>214</v>
      </c>
      <c r="G22" s="3" t="s">
        <v>215</v>
      </c>
      <c r="H22" s="3" t="s">
        <v>104</v>
      </c>
      <c r="I22" s="3" t="s">
        <v>216</v>
      </c>
      <c r="J22" s="3" t="s">
        <v>36</v>
      </c>
      <c r="K22" s="3" t="s">
        <v>37</v>
      </c>
      <c r="L22" s="3" t="s">
        <v>217</v>
      </c>
      <c r="M22" s="3" t="s">
        <v>50</v>
      </c>
      <c r="N22" s="3" t="s">
        <v>218</v>
      </c>
      <c r="O22" s="3" t="s">
        <v>219</v>
      </c>
      <c r="P22" s="4">
        <v>46477</v>
      </c>
      <c r="Q22" s="3" t="s">
        <v>190</v>
      </c>
    </row>
    <row r="23" spans="1:18" ht="43.2" customHeight="1" x14ac:dyDescent="0.3">
      <c r="A23" s="3" t="s">
        <v>220</v>
      </c>
      <c r="B23" s="3" t="s">
        <v>221</v>
      </c>
      <c r="C23" s="3" t="s">
        <v>212</v>
      </c>
      <c r="D23" s="3" t="s">
        <v>19</v>
      </c>
      <c r="E23" s="3" t="s">
        <v>222</v>
      </c>
      <c r="F23" s="3" t="s">
        <v>223</v>
      </c>
      <c r="G23" s="3" t="s">
        <v>224</v>
      </c>
      <c r="H23" s="3" t="s">
        <v>104</v>
      </c>
      <c r="I23" s="3" t="s">
        <v>225</v>
      </c>
      <c r="J23" s="3" t="s">
        <v>25</v>
      </c>
      <c r="K23" s="3" t="s">
        <v>26</v>
      </c>
      <c r="N23" s="3" t="s">
        <v>226</v>
      </c>
      <c r="O23" s="3" t="s">
        <v>227</v>
      </c>
      <c r="Q23" s="3" t="s">
        <v>29</v>
      </c>
      <c r="R23" s="3">
        <v>9</v>
      </c>
    </row>
    <row r="24" spans="1:18" ht="72" customHeight="1" x14ac:dyDescent="0.3">
      <c r="A24" s="3" t="s">
        <v>228</v>
      </c>
      <c r="B24" s="3" t="s">
        <v>229</v>
      </c>
      <c r="C24" s="3" t="s">
        <v>212</v>
      </c>
      <c r="D24" s="3" t="s">
        <v>19</v>
      </c>
      <c r="E24" s="3" t="s">
        <v>230</v>
      </c>
      <c r="F24" s="3" t="s">
        <v>231</v>
      </c>
      <c r="G24" s="3" t="s">
        <v>232</v>
      </c>
      <c r="H24" s="3" t="s">
        <v>206</v>
      </c>
      <c r="I24" s="3" t="s">
        <v>233</v>
      </c>
      <c r="J24" s="3" t="s">
        <v>36</v>
      </c>
      <c r="K24" s="3" t="s">
        <v>37</v>
      </c>
      <c r="L24" s="3" t="s">
        <v>234</v>
      </c>
      <c r="M24" s="3" t="s">
        <v>39</v>
      </c>
      <c r="N24" s="3" t="s">
        <v>235</v>
      </c>
      <c r="O24" s="3" t="s">
        <v>236</v>
      </c>
      <c r="P24" s="4">
        <v>46492</v>
      </c>
      <c r="Q24" s="3" t="s">
        <v>190</v>
      </c>
    </row>
    <row r="25" spans="1:18" ht="43.2" customHeight="1" x14ac:dyDescent="0.3">
      <c r="A25" s="3" t="s">
        <v>237</v>
      </c>
      <c r="B25" s="3" t="s">
        <v>238</v>
      </c>
      <c r="C25" s="3" t="s">
        <v>212</v>
      </c>
      <c r="D25" s="3" t="s">
        <v>19</v>
      </c>
      <c r="E25" s="3" t="s">
        <v>239</v>
      </c>
      <c r="F25" s="3" t="s">
        <v>240</v>
      </c>
      <c r="G25" s="3" t="s">
        <v>241</v>
      </c>
      <c r="H25" s="3" t="s">
        <v>196</v>
      </c>
      <c r="I25" s="3" t="s">
        <v>242</v>
      </c>
      <c r="J25" s="3" t="s">
        <v>25</v>
      </c>
      <c r="K25" s="3" t="s">
        <v>26</v>
      </c>
      <c r="N25" s="3" t="s">
        <v>243</v>
      </c>
      <c r="O25" s="3" t="s">
        <v>244</v>
      </c>
      <c r="Q25" s="3" t="s">
        <v>29</v>
      </c>
      <c r="R25" s="3">
        <v>10</v>
      </c>
    </row>
    <row r="26" spans="1:18" ht="72" customHeight="1" x14ac:dyDescent="0.3">
      <c r="A26" s="3" t="s">
        <v>245</v>
      </c>
      <c r="B26" s="3" t="s">
        <v>246</v>
      </c>
      <c r="C26" s="3" t="s">
        <v>212</v>
      </c>
      <c r="D26" s="3" t="s">
        <v>19</v>
      </c>
      <c r="E26" s="3" t="s">
        <v>247</v>
      </c>
      <c r="F26" s="3" t="s">
        <v>248</v>
      </c>
      <c r="G26" s="3" t="s">
        <v>249</v>
      </c>
      <c r="H26" s="3" t="s">
        <v>206</v>
      </c>
      <c r="I26" s="3" t="s">
        <v>250</v>
      </c>
      <c r="J26" s="3" t="s">
        <v>67</v>
      </c>
      <c r="K26" s="3" t="s">
        <v>68</v>
      </c>
      <c r="L26" s="3" t="s">
        <v>251</v>
      </c>
      <c r="M26" s="3" t="s">
        <v>50</v>
      </c>
      <c r="N26" s="3" t="s">
        <v>252</v>
      </c>
      <c r="O26" s="3" t="s">
        <v>253</v>
      </c>
      <c r="P26" s="4">
        <v>46507</v>
      </c>
      <c r="Q26" s="3" t="s">
        <v>190</v>
      </c>
    </row>
    <row r="27" spans="1:18" ht="72" customHeight="1" x14ac:dyDescent="0.3">
      <c r="A27" s="3" t="s">
        <v>254</v>
      </c>
      <c r="B27" s="3" t="s">
        <v>255</v>
      </c>
      <c r="C27" s="3" t="s">
        <v>256</v>
      </c>
      <c r="D27" s="3" t="s">
        <v>19</v>
      </c>
      <c r="E27" s="3" t="s">
        <v>257</v>
      </c>
      <c r="F27" s="3" t="s">
        <v>258</v>
      </c>
      <c r="G27" s="3" t="s">
        <v>259</v>
      </c>
      <c r="H27" s="3" t="s">
        <v>260</v>
      </c>
      <c r="I27" s="3" t="s">
        <v>261</v>
      </c>
      <c r="J27" s="3" t="s">
        <v>36</v>
      </c>
      <c r="K27" s="3" t="s">
        <v>37</v>
      </c>
      <c r="L27" s="3" t="s">
        <v>262</v>
      </c>
      <c r="M27" s="3" t="s">
        <v>39</v>
      </c>
      <c r="N27" s="3" t="s">
        <v>263</v>
      </c>
      <c r="O27" s="3" t="s">
        <v>264</v>
      </c>
      <c r="P27" s="4">
        <v>46507</v>
      </c>
      <c r="Q27" s="3" t="s">
        <v>190</v>
      </c>
    </row>
    <row r="28" spans="1:18" ht="57.6" customHeight="1" x14ac:dyDescent="0.3">
      <c r="A28" s="3" t="s">
        <v>265</v>
      </c>
      <c r="B28" s="3" t="s">
        <v>266</v>
      </c>
      <c r="C28" s="3" t="s">
        <v>256</v>
      </c>
      <c r="D28" s="3" t="s">
        <v>19</v>
      </c>
      <c r="E28" s="3" t="s">
        <v>267</v>
      </c>
      <c r="F28" s="3" t="s">
        <v>268</v>
      </c>
      <c r="G28" s="3" t="s">
        <v>269</v>
      </c>
      <c r="H28" s="3" t="s">
        <v>260</v>
      </c>
      <c r="I28" s="3" t="s">
        <v>270</v>
      </c>
      <c r="J28" s="3" t="s">
        <v>67</v>
      </c>
      <c r="K28" s="3" t="s">
        <v>68</v>
      </c>
      <c r="L28" s="3" t="s">
        <v>271</v>
      </c>
      <c r="M28" s="3" t="s">
        <v>50</v>
      </c>
      <c r="N28" s="3" t="s">
        <v>272</v>
      </c>
      <c r="O28" s="3" t="s">
        <v>273</v>
      </c>
      <c r="P28" s="4">
        <v>46522</v>
      </c>
      <c r="Q28" s="3" t="s">
        <v>190</v>
      </c>
    </row>
    <row r="29" spans="1:18" ht="72" customHeight="1" x14ac:dyDescent="0.3">
      <c r="A29" s="3" t="s">
        <v>274</v>
      </c>
      <c r="B29" s="3" t="s">
        <v>275</v>
      </c>
      <c r="C29" s="3" t="s">
        <v>256</v>
      </c>
      <c r="D29" s="3" t="s">
        <v>19</v>
      </c>
      <c r="E29" s="3" t="s">
        <v>276</v>
      </c>
      <c r="F29" s="3" t="s">
        <v>277</v>
      </c>
      <c r="G29" s="3" t="s">
        <v>278</v>
      </c>
      <c r="H29" s="3" t="s">
        <v>279</v>
      </c>
      <c r="I29" s="3" t="s">
        <v>280</v>
      </c>
      <c r="J29" s="3" t="s">
        <v>36</v>
      </c>
      <c r="K29" s="3" t="s">
        <v>37</v>
      </c>
      <c r="L29" s="3" t="s">
        <v>281</v>
      </c>
      <c r="M29" s="3" t="s">
        <v>39</v>
      </c>
      <c r="N29" s="3" t="s">
        <v>282</v>
      </c>
      <c r="O29" s="3" t="s">
        <v>283</v>
      </c>
      <c r="P29" s="4">
        <v>46538</v>
      </c>
      <c r="Q29" s="3" t="s">
        <v>190</v>
      </c>
    </row>
    <row r="30" spans="1:18" ht="57.6" customHeight="1" x14ac:dyDescent="0.3">
      <c r="A30" s="3" t="s">
        <v>552</v>
      </c>
      <c r="B30" s="3" t="s">
        <v>284</v>
      </c>
      <c r="C30" s="3" t="s">
        <v>256</v>
      </c>
      <c r="D30" s="3" t="s">
        <v>19</v>
      </c>
      <c r="E30" s="3" t="s">
        <v>285</v>
      </c>
      <c r="F30" s="3" t="s">
        <v>286</v>
      </c>
      <c r="G30" s="3" t="s">
        <v>287</v>
      </c>
      <c r="H30" s="3" t="s">
        <v>279</v>
      </c>
      <c r="I30" s="3" t="s">
        <v>288</v>
      </c>
      <c r="J30" s="3" t="s">
        <v>25</v>
      </c>
      <c r="K30" s="3" t="s">
        <v>26</v>
      </c>
      <c r="N30" s="3" t="s">
        <v>289</v>
      </c>
      <c r="O30" s="3" t="s">
        <v>290</v>
      </c>
      <c r="Q30" s="3" t="s">
        <v>29</v>
      </c>
      <c r="R30" s="3">
        <v>11</v>
      </c>
    </row>
    <row r="31" spans="1:18" ht="86.4" customHeight="1" x14ac:dyDescent="0.3">
      <c r="A31" s="3" t="s">
        <v>291</v>
      </c>
      <c r="B31" s="3" t="s">
        <v>292</v>
      </c>
      <c r="C31" s="3" t="s">
        <v>256</v>
      </c>
      <c r="D31" s="3" t="s">
        <v>19</v>
      </c>
      <c r="E31" s="3" t="s">
        <v>293</v>
      </c>
      <c r="F31" s="3" t="s">
        <v>294</v>
      </c>
      <c r="G31" s="3" t="s">
        <v>295</v>
      </c>
      <c r="H31" s="3" t="s">
        <v>279</v>
      </c>
      <c r="I31" s="3" t="s">
        <v>296</v>
      </c>
      <c r="J31" s="3" t="s">
        <v>36</v>
      </c>
      <c r="K31" s="3" t="s">
        <v>37</v>
      </c>
      <c r="L31" s="3" t="s">
        <v>297</v>
      </c>
      <c r="M31" s="3" t="s">
        <v>50</v>
      </c>
      <c r="N31" s="3" t="s">
        <v>298</v>
      </c>
      <c r="O31" s="3" t="s">
        <v>299</v>
      </c>
      <c r="P31" s="4">
        <v>46553</v>
      </c>
      <c r="Q31" s="3" t="s">
        <v>190</v>
      </c>
    </row>
    <row r="32" spans="1:18" ht="72" customHeight="1" x14ac:dyDescent="0.3">
      <c r="A32" s="3" t="s">
        <v>300</v>
      </c>
      <c r="B32" s="3" t="s">
        <v>301</v>
      </c>
      <c r="C32" s="3" t="s">
        <v>302</v>
      </c>
      <c r="D32" s="3" t="s">
        <v>19</v>
      </c>
      <c r="E32" s="3" t="s">
        <v>303</v>
      </c>
      <c r="F32" s="3" t="s">
        <v>304</v>
      </c>
      <c r="G32" s="3" t="s">
        <v>305</v>
      </c>
      <c r="H32" s="3" t="s">
        <v>196</v>
      </c>
      <c r="I32" s="3" t="s">
        <v>306</v>
      </c>
      <c r="J32" s="3" t="s">
        <v>36</v>
      </c>
      <c r="K32" s="3" t="s">
        <v>37</v>
      </c>
      <c r="L32" s="3" t="s">
        <v>307</v>
      </c>
      <c r="M32" s="3" t="s">
        <v>50</v>
      </c>
      <c r="N32" s="3" t="s">
        <v>308</v>
      </c>
      <c r="O32" s="3" t="s">
        <v>309</v>
      </c>
      <c r="P32" s="4">
        <v>46568</v>
      </c>
      <c r="Q32" s="3" t="s">
        <v>190</v>
      </c>
    </row>
    <row r="33" spans="1:18" ht="57.6" customHeight="1" x14ac:dyDescent="0.3">
      <c r="A33" s="3" t="s">
        <v>310</v>
      </c>
      <c r="B33" s="3" t="s">
        <v>311</v>
      </c>
      <c r="C33" s="3" t="s">
        <v>302</v>
      </c>
      <c r="D33" s="3" t="s">
        <v>19</v>
      </c>
      <c r="E33" s="3" t="s">
        <v>312</v>
      </c>
      <c r="F33" s="3" t="s">
        <v>313</v>
      </c>
      <c r="G33" s="3" t="s">
        <v>314</v>
      </c>
      <c r="H33" s="3" t="s">
        <v>196</v>
      </c>
      <c r="I33" s="3" t="s">
        <v>315</v>
      </c>
      <c r="J33" s="3" t="s">
        <v>67</v>
      </c>
      <c r="K33" s="3" t="s">
        <v>68</v>
      </c>
      <c r="L33" s="3" t="s">
        <v>316</v>
      </c>
      <c r="M33" s="3" t="s">
        <v>50</v>
      </c>
      <c r="N33" s="3" t="s">
        <v>317</v>
      </c>
      <c r="O33" s="3" t="s">
        <v>318</v>
      </c>
      <c r="P33" s="4">
        <v>46583</v>
      </c>
      <c r="Q33" s="3" t="s">
        <v>190</v>
      </c>
    </row>
    <row r="34" spans="1:18" ht="43.2" customHeight="1" x14ac:dyDescent="0.3">
      <c r="A34" s="3" t="s">
        <v>319</v>
      </c>
      <c r="B34" s="3" t="s">
        <v>320</v>
      </c>
      <c r="C34" s="3" t="s">
        <v>321</v>
      </c>
      <c r="D34" s="3" t="s">
        <v>19</v>
      </c>
      <c r="E34" s="3" t="s">
        <v>322</v>
      </c>
      <c r="F34" s="3" t="s">
        <v>323</v>
      </c>
      <c r="G34" s="3" t="s">
        <v>324</v>
      </c>
      <c r="H34" s="3" t="s">
        <v>196</v>
      </c>
      <c r="I34" s="3" t="s">
        <v>325</v>
      </c>
      <c r="J34" s="3" t="s">
        <v>25</v>
      </c>
      <c r="K34" s="3" t="s">
        <v>26</v>
      </c>
      <c r="N34" s="3" t="s">
        <v>326</v>
      </c>
      <c r="O34" s="3" t="s">
        <v>327</v>
      </c>
      <c r="Q34" s="3" t="s">
        <v>29</v>
      </c>
      <c r="R34" s="3">
        <v>12</v>
      </c>
    </row>
    <row r="35" spans="1:18" ht="57.6" customHeight="1" x14ac:dyDescent="0.3">
      <c r="A35" s="3" t="s">
        <v>328</v>
      </c>
      <c r="B35" s="3" t="s">
        <v>329</v>
      </c>
      <c r="C35" s="3" t="s">
        <v>321</v>
      </c>
      <c r="D35" s="3" t="s">
        <v>19</v>
      </c>
      <c r="E35" s="3" t="s">
        <v>330</v>
      </c>
      <c r="F35" s="3" t="s">
        <v>331</v>
      </c>
      <c r="G35" s="3" t="s">
        <v>332</v>
      </c>
      <c r="H35" s="3" t="s">
        <v>196</v>
      </c>
      <c r="I35" s="3" t="s">
        <v>333</v>
      </c>
      <c r="J35" s="3" t="s">
        <v>36</v>
      </c>
      <c r="K35" s="3" t="s">
        <v>37</v>
      </c>
      <c r="L35" s="3" t="s">
        <v>334</v>
      </c>
      <c r="M35" s="3" t="s">
        <v>39</v>
      </c>
      <c r="N35" s="3" t="s">
        <v>335</v>
      </c>
      <c r="O35" s="3" t="s">
        <v>336</v>
      </c>
      <c r="P35" s="4">
        <v>46599</v>
      </c>
      <c r="Q35" s="3" t="s">
        <v>190</v>
      </c>
    </row>
    <row r="36" spans="1:18" ht="72" customHeight="1" x14ac:dyDescent="0.3">
      <c r="A36" s="3" t="s">
        <v>337</v>
      </c>
      <c r="B36" s="3" t="s">
        <v>338</v>
      </c>
      <c r="C36" s="3" t="s">
        <v>321</v>
      </c>
      <c r="D36" s="3" t="s">
        <v>19</v>
      </c>
      <c r="E36" s="3" t="s">
        <v>339</v>
      </c>
      <c r="F36" s="3" t="s">
        <v>340</v>
      </c>
      <c r="G36" s="3" t="s">
        <v>341</v>
      </c>
      <c r="H36" s="3" t="s">
        <v>196</v>
      </c>
      <c r="I36" s="3" t="s">
        <v>342</v>
      </c>
      <c r="J36" s="3" t="s">
        <v>36</v>
      </c>
      <c r="K36" s="3" t="s">
        <v>37</v>
      </c>
      <c r="L36" s="3" t="s">
        <v>343</v>
      </c>
      <c r="M36" s="3" t="s">
        <v>50</v>
      </c>
      <c r="N36" s="3" t="s">
        <v>344</v>
      </c>
      <c r="O36" s="3" t="s">
        <v>345</v>
      </c>
      <c r="P36" s="4">
        <v>46614</v>
      </c>
      <c r="Q36" s="3" t="s">
        <v>190</v>
      </c>
    </row>
    <row r="37" spans="1:18" ht="43.2" customHeight="1" x14ac:dyDescent="0.3">
      <c r="A37" s="3" t="s">
        <v>346</v>
      </c>
      <c r="B37" s="3" t="s">
        <v>347</v>
      </c>
      <c r="C37" s="3" t="s">
        <v>348</v>
      </c>
      <c r="D37" s="3" t="s">
        <v>19</v>
      </c>
      <c r="E37" s="3" t="s">
        <v>349</v>
      </c>
      <c r="F37" s="3" t="s">
        <v>350</v>
      </c>
      <c r="G37" s="3" t="s">
        <v>351</v>
      </c>
      <c r="H37" s="3" t="s">
        <v>196</v>
      </c>
      <c r="I37" s="3" t="s">
        <v>352</v>
      </c>
      <c r="J37" s="3" t="s">
        <v>25</v>
      </c>
      <c r="K37" s="3" t="s">
        <v>26</v>
      </c>
      <c r="N37" s="3" t="s">
        <v>353</v>
      </c>
      <c r="O37" s="3" t="s">
        <v>354</v>
      </c>
      <c r="Q37" s="3" t="s">
        <v>29</v>
      </c>
      <c r="R37" s="3">
        <v>13</v>
      </c>
    </row>
    <row r="38" spans="1:18" ht="72" customHeight="1" x14ac:dyDescent="0.3">
      <c r="A38" s="3" t="s">
        <v>355</v>
      </c>
      <c r="B38" s="3" t="s">
        <v>356</v>
      </c>
      <c r="C38" s="3" t="s">
        <v>357</v>
      </c>
      <c r="D38" s="3" t="s">
        <v>19</v>
      </c>
      <c r="E38" s="3" t="s">
        <v>358</v>
      </c>
      <c r="F38" s="3" t="s">
        <v>359</v>
      </c>
      <c r="G38" s="3" t="s">
        <v>360</v>
      </c>
      <c r="H38" s="3" t="s">
        <v>149</v>
      </c>
      <c r="I38" s="3" t="s">
        <v>361</v>
      </c>
      <c r="J38" s="3" t="s">
        <v>36</v>
      </c>
      <c r="K38" s="3" t="s">
        <v>37</v>
      </c>
      <c r="L38" s="3" t="s">
        <v>362</v>
      </c>
      <c r="M38" s="3" t="s">
        <v>50</v>
      </c>
      <c r="N38" s="3" t="s">
        <v>363</v>
      </c>
      <c r="O38" s="3" t="s">
        <v>364</v>
      </c>
      <c r="P38" s="4">
        <v>46630</v>
      </c>
      <c r="Q38" s="3" t="s">
        <v>190</v>
      </c>
    </row>
    <row r="39" spans="1:18" ht="43.2" customHeight="1" x14ac:dyDescent="0.3">
      <c r="A39" s="3" t="s">
        <v>365</v>
      </c>
      <c r="B39" s="3" t="s">
        <v>366</v>
      </c>
      <c r="C39" s="3" t="s">
        <v>367</v>
      </c>
      <c r="D39" s="3" t="s">
        <v>19</v>
      </c>
      <c r="E39" s="3" t="s">
        <v>368</v>
      </c>
      <c r="F39" s="3" t="s">
        <v>369</v>
      </c>
      <c r="G39" s="3" t="s">
        <v>370</v>
      </c>
      <c r="H39" s="3" t="s">
        <v>196</v>
      </c>
      <c r="I39" s="3" t="s">
        <v>371</v>
      </c>
      <c r="J39" s="3" t="s">
        <v>25</v>
      </c>
      <c r="K39" s="3" t="s">
        <v>26</v>
      </c>
      <c r="N39" s="3" t="s">
        <v>372</v>
      </c>
      <c r="O39" s="3" t="s">
        <v>373</v>
      </c>
      <c r="Q39" s="3" t="s">
        <v>29</v>
      </c>
      <c r="R39" s="3">
        <v>14</v>
      </c>
    </row>
    <row r="40" spans="1:18" ht="72" customHeight="1" x14ac:dyDescent="0.3">
      <c r="A40" s="3" t="s">
        <v>374</v>
      </c>
      <c r="B40" s="3" t="s">
        <v>375</v>
      </c>
      <c r="C40" s="3" t="s">
        <v>376</v>
      </c>
      <c r="D40" s="3" t="s">
        <v>19</v>
      </c>
      <c r="E40" s="3" t="s">
        <v>377</v>
      </c>
      <c r="F40" s="3" t="s">
        <v>378</v>
      </c>
      <c r="G40" s="3" t="s">
        <v>379</v>
      </c>
      <c r="H40" s="3" t="s">
        <v>185</v>
      </c>
      <c r="I40" s="3" t="s">
        <v>380</v>
      </c>
      <c r="J40" s="3" t="s">
        <v>67</v>
      </c>
      <c r="K40" s="3" t="s">
        <v>68</v>
      </c>
      <c r="L40" s="3" t="s">
        <v>381</v>
      </c>
      <c r="M40" s="3" t="s">
        <v>50</v>
      </c>
      <c r="N40" s="3" t="s">
        <v>382</v>
      </c>
      <c r="O40" s="3" t="s">
        <v>383</v>
      </c>
      <c r="P40" s="4">
        <v>46645</v>
      </c>
      <c r="Q40" s="3" t="s">
        <v>190</v>
      </c>
    </row>
    <row r="41" spans="1:18" ht="86.4" customHeight="1" x14ac:dyDescent="0.3">
      <c r="A41" s="3" t="s">
        <v>384</v>
      </c>
      <c r="B41" s="3" t="s">
        <v>385</v>
      </c>
      <c r="C41" s="3" t="s">
        <v>376</v>
      </c>
      <c r="D41" s="3" t="s">
        <v>19</v>
      </c>
      <c r="E41" s="3" t="s">
        <v>386</v>
      </c>
      <c r="F41" s="3" t="s">
        <v>387</v>
      </c>
      <c r="G41" s="3" t="s">
        <v>388</v>
      </c>
      <c r="H41" s="3" t="s">
        <v>23</v>
      </c>
      <c r="I41" s="3" t="s">
        <v>389</v>
      </c>
      <c r="J41" s="3" t="s">
        <v>36</v>
      </c>
      <c r="K41" s="3" t="s">
        <v>37</v>
      </c>
      <c r="L41" s="3" t="s">
        <v>390</v>
      </c>
      <c r="M41" s="3" t="s">
        <v>39</v>
      </c>
      <c r="N41" s="3" t="s">
        <v>391</v>
      </c>
      <c r="O41" s="3" t="s">
        <v>392</v>
      </c>
      <c r="P41" s="4">
        <v>46660</v>
      </c>
      <c r="Q41" s="3" t="s">
        <v>190</v>
      </c>
    </row>
  </sheetData>
  <autoFilter ref="A1:Q1" xr:uid="{00000000-0009-0000-0000-000000000000}"/>
  <dataValidations count="4">
    <dataValidation type="list" allowBlank="1" sqref="J2:J41" xr:uid="{00000000-0002-0000-0000-000000000000}">
      <formula1>"Sufficient,Partial,Insufficient,Not Applicable"</formula1>
    </dataValidation>
    <dataValidation type="list" allowBlank="1" sqref="K2:K41" xr:uid="{00000000-0002-0000-0000-000001000000}">
      <formula1>"Effective,Partially Effective,Ineffective,Not Applicable"</formula1>
    </dataValidation>
    <dataValidation type="list" allowBlank="1" sqref="M2:M41" xr:uid="{00000000-0002-0000-0000-000002000000}">
      <formula1>"Critical,High,Moderate,Low"</formula1>
    </dataValidation>
    <dataValidation type="list" allowBlank="1" sqref="Q2:Q41" xr:uid="{00000000-0002-0000-0000-000003000000}">
      <formula1>"Not Started,In Progress,Validated,Not Applicable"</formula1>
    </dataValidation>
  </dataValidation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7"/>
  <sheetViews>
    <sheetView topLeftCell="G1" workbookViewId="0">
      <pane ySplit="1" topLeftCell="A2" activePane="bottomLeft" state="frozen"/>
      <selection pane="bottomLeft" activeCell="G1" sqref="A1:XFD1048576"/>
    </sheetView>
  </sheetViews>
  <sheetFormatPr defaultRowHeight="14.4" x14ac:dyDescent="0.3"/>
  <cols>
    <col min="1" max="2" width="14" style="3" customWidth="1"/>
    <col min="3" max="3" width="28" style="3" customWidth="1"/>
    <col min="4" max="4" width="42" style="3" customWidth="1"/>
    <col min="5" max="5" width="16" style="3" customWidth="1"/>
    <col min="6" max="6" width="35" style="3" customWidth="1"/>
    <col min="7" max="7" width="45" style="3" customWidth="1"/>
    <col min="8" max="8" width="25" style="3" customWidth="1"/>
    <col min="9" max="9" width="16" style="3" customWidth="1"/>
    <col min="10" max="10" width="15" style="3" customWidth="1"/>
    <col min="11" max="11" width="18" style="3" customWidth="1"/>
    <col min="12" max="12" width="40" style="3" customWidth="1"/>
    <col min="13" max="13" width="42" style="3" customWidth="1"/>
    <col min="14" max="16384" width="8.88671875" style="3"/>
  </cols>
  <sheetData>
    <row r="1" spans="1:13" x14ac:dyDescent="0.3">
      <c r="A1" s="1" t="s">
        <v>393</v>
      </c>
      <c r="B1" s="1" t="s">
        <v>0</v>
      </c>
      <c r="C1" s="1" t="s">
        <v>1</v>
      </c>
      <c r="D1" s="1" t="s">
        <v>10</v>
      </c>
      <c r="E1" s="1" t="s">
        <v>394</v>
      </c>
      <c r="F1" s="1" t="s">
        <v>395</v>
      </c>
      <c r="G1" s="1" t="s">
        <v>396</v>
      </c>
      <c r="H1" s="1" t="s">
        <v>397</v>
      </c>
      <c r="I1" s="1" t="s">
        <v>398</v>
      </c>
      <c r="J1" s="1" t="s">
        <v>14</v>
      </c>
      <c r="K1" s="1" t="s">
        <v>399</v>
      </c>
      <c r="L1" s="1" t="s">
        <v>400</v>
      </c>
      <c r="M1" s="1" t="s">
        <v>401</v>
      </c>
    </row>
    <row r="2" spans="1:13" ht="72" x14ac:dyDescent="0.3">
      <c r="A2" s="3" t="s">
        <v>402</v>
      </c>
      <c r="B2" s="3" t="s">
        <v>30</v>
      </c>
      <c r="C2" s="3" t="s">
        <v>18</v>
      </c>
      <c r="D2" s="3" t="s">
        <v>38</v>
      </c>
      <c r="E2" s="3" t="s">
        <v>39</v>
      </c>
      <c r="F2" s="3" t="s">
        <v>403</v>
      </c>
      <c r="G2" s="3" t="s">
        <v>40</v>
      </c>
      <c r="H2" s="3" t="s">
        <v>23</v>
      </c>
      <c r="I2" s="3" t="s">
        <v>404</v>
      </c>
      <c r="J2" s="4">
        <v>46356</v>
      </c>
      <c r="K2" s="3" t="str">
        <f>IF(_xlfn.XLOOKUP(B2,'Control Assessment'!A:A,'Control Assessment'!Q:Q)="Validated","Completed",IF(_xlfn.XLOOKUP(B2,'Control Assessment'!A:A,'Control Assessment'!Q:Q)="In Progress","In Progress","Not Started"))</f>
        <v>In Progress</v>
      </c>
      <c r="L2" s="3" t="s">
        <v>405</v>
      </c>
      <c r="M2" s="3" t="s">
        <v>406</v>
      </c>
    </row>
    <row r="3" spans="1:13" ht="72" x14ac:dyDescent="0.3">
      <c r="A3" s="3" t="s">
        <v>407</v>
      </c>
      <c r="B3" s="3" t="s">
        <v>43</v>
      </c>
      <c r="C3" s="3" t="s">
        <v>18</v>
      </c>
      <c r="D3" s="3" t="s">
        <v>49</v>
      </c>
      <c r="E3" s="3" t="s">
        <v>50</v>
      </c>
      <c r="F3" s="3" t="s">
        <v>408</v>
      </c>
      <c r="G3" s="3" t="s">
        <v>51</v>
      </c>
      <c r="H3" s="3" t="s">
        <v>23</v>
      </c>
      <c r="I3" s="3" t="s">
        <v>50</v>
      </c>
      <c r="J3" s="4">
        <v>46371</v>
      </c>
      <c r="K3" s="3" t="str">
        <f>IF(_xlfn.XLOOKUP(B2,'Control Assessment'!A:A,'Control Assessment'!Q:Q)="Validated","Completed",IF(_xlfn.XLOOKUP(B2,'Control Assessment'!A:A,'Control Assessment'!Q:Q)="In Progress","In Progress","Not Started"))</f>
        <v>In Progress</v>
      </c>
      <c r="L3" s="3" t="s">
        <v>409</v>
      </c>
      <c r="M3" s="3" t="s">
        <v>410</v>
      </c>
    </row>
    <row r="4" spans="1:13" ht="57.6" x14ac:dyDescent="0.3">
      <c r="A4" s="3" t="s">
        <v>411</v>
      </c>
      <c r="B4" s="3" t="s">
        <v>61</v>
      </c>
      <c r="C4" s="3" t="s">
        <v>18</v>
      </c>
      <c r="D4" s="3" t="s">
        <v>69</v>
      </c>
      <c r="E4" s="3" t="s">
        <v>50</v>
      </c>
      <c r="F4" s="3" t="s">
        <v>412</v>
      </c>
      <c r="G4" s="3" t="s">
        <v>70</v>
      </c>
      <c r="H4" s="3" t="s">
        <v>23</v>
      </c>
      <c r="I4" s="3" t="s">
        <v>50</v>
      </c>
      <c r="J4" s="4">
        <v>46387</v>
      </c>
      <c r="K4" s="3" t="str">
        <f>IF(_xlfn.XLOOKUP(B2,'Control Assessment'!A:A,'Control Assessment'!Q:Q)="Validated","Completed",IF(_xlfn.XLOOKUP(B2,'Control Assessment'!A:A,'Control Assessment'!Q:Q)="In Progress","In Progress","Not Started"))</f>
        <v>In Progress</v>
      </c>
      <c r="L4" s="3" t="s">
        <v>413</v>
      </c>
      <c r="M4" s="3" t="s">
        <v>414</v>
      </c>
    </row>
    <row r="5" spans="1:13" ht="57.6" x14ac:dyDescent="0.3">
      <c r="A5" s="3" t="s">
        <v>415</v>
      </c>
      <c r="B5" s="3" t="s">
        <v>82</v>
      </c>
      <c r="C5" s="3" t="s">
        <v>74</v>
      </c>
      <c r="D5" s="3" t="s">
        <v>88</v>
      </c>
      <c r="E5" s="3" t="s">
        <v>39</v>
      </c>
      <c r="F5" s="3" t="s">
        <v>416</v>
      </c>
      <c r="G5" s="3" t="s">
        <v>89</v>
      </c>
      <c r="H5" s="3" t="s">
        <v>78</v>
      </c>
      <c r="I5" s="3" t="s">
        <v>404</v>
      </c>
      <c r="J5" s="4">
        <v>46371</v>
      </c>
      <c r="K5" s="3" t="s">
        <v>42</v>
      </c>
      <c r="L5" s="3" t="s">
        <v>417</v>
      </c>
      <c r="M5" s="3" t="s">
        <v>418</v>
      </c>
    </row>
    <row r="6" spans="1:13" ht="57.6" x14ac:dyDescent="0.3">
      <c r="A6" s="3" t="s">
        <v>419</v>
      </c>
      <c r="B6" s="3" t="s">
        <v>99</v>
      </c>
      <c r="C6" s="3" t="s">
        <v>74</v>
      </c>
      <c r="D6" s="3" t="s">
        <v>106</v>
      </c>
      <c r="E6" s="3" t="s">
        <v>50</v>
      </c>
      <c r="F6" s="3" t="s">
        <v>420</v>
      </c>
      <c r="G6" s="3" t="s">
        <v>421</v>
      </c>
      <c r="H6" s="3" t="s">
        <v>104</v>
      </c>
      <c r="I6" s="3" t="s">
        <v>50</v>
      </c>
      <c r="J6" s="4">
        <v>46402</v>
      </c>
      <c r="K6" s="3" t="str">
        <f>IF(_xlfn.XLOOKUP(B2,'Control Assessment'!A:A,'Control Assessment'!Q:Q)="Validated","Completed",IF(_xlfn.XLOOKUP(B2,'Control Assessment'!A:A,'Control Assessment'!Q:Q)="In Progress","In Progress","Not Started"))</f>
        <v>In Progress</v>
      </c>
      <c r="L6" s="3" t="s">
        <v>422</v>
      </c>
      <c r="M6" s="3" t="s">
        <v>423</v>
      </c>
    </row>
    <row r="7" spans="1:13" ht="57.6" x14ac:dyDescent="0.3">
      <c r="A7" s="3" t="s">
        <v>424</v>
      </c>
      <c r="B7" s="3" t="s">
        <v>109</v>
      </c>
      <c r="C7" s="3" t="s">
        <v>74</v>
      </c>
      <c r="D7" s="3" t="s">
        <v>116</v>
      </c>
      <c r="E7" s="3" t="s">
        <v>50</v>
      </c>
      <c r="F7" s="3" t="s">
        <v>425</v>
      </c>
      <c r="G7" s="3" t="s">
        <v>426</v>
      </c>
      <c r="H7" s="3" t="s">
        <v>114</v>
      </c>
      <c r="I7" s="3" t="s">
        <v>50</v>
      </c>
      <c r="J7" s="4">
        <v>46418</v>
      </c>
      <c r="K7" s="3" t="s">
        <v>42</v>
      </c>
      <c r="L7" s="3" t="s">
        <v>427</v>
      </c>
      <c r="M7" s="3" t="s">
        <v>428</v>
      </c>
    </row>
    <row r="8" spans="1:13" ht="57.6" x14ac:dyDescent="0.3">
      <c r="A8" s="3" t="s">
        <v>429</v>
      </c>
      <c r="B8" s="3" t="s">
        <v>119</v>
      </c>
      <c r="C8" s="3" t="s">
        <v>74</v>
      </c>
      <c r="D8" s="3" t="s">
        <v>124</v>
      </c>
      <c r="E8" s="3" t="s">
        <v>50</v>
      </c>
      <c r="F8" s="3" t="s">
        <v>430</v>
      </c>
      <c r="G8" s="3" t="s">
        <v>431</v>
      </c>
      <c r="H8" s="3" t="s">
        <v>78</v>
      </c>
      <c r="I8" s="3" t="s">
        <v>50</v>
      </c>
      <c r="J8" s="4">
        <v>46433</v>
      </c>
      <c r="K8" s="3" t="s">
        <v>42</v>
      </c>
      <c r="L8" s="3" t="s">
        <v>432</v>
      </c>
      <c r="M8" s="3" t="s">
        <v>433</v>
      </c>
    </row>
    <row r="9" spans="1:13" ht="43.2" x14ac:dyDescent="0.3">
      <c r="A9" s="3" t="s">
        <v>434</v>
      </c>
      <c r="B9" s="3" t="s">
        <v>136</v>
      </c>
      <c r="C9" s="3" t="s">
        <v>129</v>
      </c>
      <c r="D9" s="3" t="s">
        <v>141</v>
      </c>
      <c r="E9" s="3" t="s">
        <v>39</v>
      </c>
      <c r="F9" s="3" t="s">
        <v>435</v>
      </c>
      <c r="G9" s="3" t="s">
        <v>436</v>
      </c>
      <c r="H9" s="3" t="s">
        <v>114</v>
      </c>
      <c r="I9" s="3" t="s">
        <v>404</v>
      </c>
      <c r="J9" s="4">
        <v>46402</v>
      </c>
      <c r="K9" s="3" t="str">
        <f>IF(_xlfn.XLOOKUP(B2,'Control Assessment'!A:A,'Control Assessment'!Q:Q)="Validated","Completed",IF(_xlfn.XLOOKUP(B2,'Control Assessment'!A:A,'Control Assessment'!Q:Q)="In Progress","In Progress","Not Started"))</f>
        <v>In Progress</v>
      </c>
      <c r="L9" s="3" t="s">
        <v>437</v>
      </c>
      <c r="M9" s="3" t="s">
        <v>438</v>
      </c>
    </row>
    <row r="10" spans="1:13" ht="57.6" x14ac:dyDescent="0.3">
      <c r="A10" s="3" t="s">
        <v>439</v>
      </c>
      <c r="B10" s="3" t="s">
        <v>144</v>
      </c>
      <c r="C10" s="3" t="s">
        <v>129</v>
      </c>
      <c r="D10" s="3" t="s">
        <v>151</v>
      </c>
      <c r="E10" s="3" t="s">
        <v>50</v>
      </c>
      <c r="F10" s="3" t="s">
        <v>440</v>
      </c>
      <c r="G10" s="3" t="s">
        <v>441</v>
      </c>
      <c r="H10" s="3" t="s">
        <v>149</v>
      </c>
      <c r="I10" s="3" t="s">
        <v>50</v>
      </c>
      <c r="J10" s="4">
        <v>46419</v>
      </c>
      <c r="K10" s="3" t="str">
        <f>IF(_xlfn.XLOOKUP(B2,'Control Assessment'!A:A,'Control Assessment'!Q:Q)="Validated","Completed",IF(_xlfn.XLOOKUP(B2,'Control Assessment'!A:A,'Control Assessment'!Q:Q)="In Progress","In Progress","Not Started"))</f>
        <v>In Progress</v>
      </c>
      <c r="L10" s="3" t="s">
        <v>442</v>
      </c>
      <c r="M10" s="3" t="s">
        <v>443</v>
      </c>
    </row>
    <row r="11" spans="1:13" ht="57.6" x14ac:dyDescent="0.3">
      <c r="A11" s="3" t="s">
        <v>444</v>
      </c>
      <c r="B11" s="3" t="s">
        <v>162</v>
      </c>
      <c r="C11" s="3" t="s">
        <v>164</v>
      </c>
      <c r="D11" s="3" t="s">
        <v>169</v>
      </c>
      <c r="E11" s="3" t="s">
        <v>39</v>
      </c>
      <c r="F11" s="3" t="s">
        <v>445</v>
      </c>
      <c r="G11" s="3" t="s">
        <v>446</v>
      </c>
      <c r="H11" s="3" t="s">
        <v>149</v>
      </c>
      <c r="I11" s="3" t="s">
        <v>404</v>
      </c>
      <c r="J11" s="4">
        <v>46433</v>
      </c>
      <c r="K11" s="3" t="str">
        <f>IF(_xlfn.XLOOKUP(B2,'Control Assessment'!A:A,'Control Assessment'!Q:Q)="Validated","Completed",IF(_xlfn.XLOOKUP(B2,'Control Assessment'!A:A,'Control Assessment'!Q:Q)="In Progress","In Progress","Not Started"))</f>
        <v>In Progress</v>
      </c>
      <c r="L11" s="3" t="s">
        <v>447</v>
      </c>
      <c r="M11" s="3" t="s">
        <v>448</v>
      </c>
    </row>
    <row r="12" spans="1:13" ht="72" x14ac:dyDescent="0.3">
      <c r="A12" s="3" t="s">
        <v>449</v>
      </c>
      <c r="B12" s="3" t="s">
        <v>180</v>
      </c>
      <c r="C12" s="3" t="s">
        <v>164</v>
      </c>
      <c r="D12" s="3" t="s">
        <v>187</v>
      </c>
      <c r="E12" s="3" t="s">
        <v>50</v>
      </c>
      <c r="F12" s="3" t="s">
        <v>450</v>
      </c>
      <c r="G12" s="3" t="s">
        <v>451</v>
      </c>
      <c r="H12" s="3" t="s">
        <v>185</v>
      </c>
      <c r="I12" s="3" t="s">
        <v>50</v>
      </c>
      <c r="J12" s="4">
        <v>46447</v>
      </c>
      <c r="K12" s="3" t="s">
        <v>547</v>
      </c>
      <c r="L12" s="3" t="s">
        <v>452</v>
      </c>
      <c r="M12" s="3" t="s">
        <v>453</v>
      </c>
    </row>
    <row r="13" spans="1:13" ht="57.6" x14ac:dyDescent="0.3">
      <c r="A13" s="3" t="s">
        <v>454</v>
      </c>
      <c r="B13" s="3" t="s">
        <v>191</v>
      </c>
      <c r="C13" s="3" t="s">
        <v>164</v>
      </c>
      <c r="D13" s="3" t="s">
        <v>198</v>
      </c>
      <c r="E13" s="3" t="s">
        <v>50</v>
      </c>
      <c r="F13" s="3" t="s">
        <v>455</v>
      </c>
      <c r="G13" s="3" t="s">
        <v>456</v>
      </c>
      <c r="H13" s="3" t="s">
        <v>196</v>
      </c>
      <c r="I13" s="3" t="s">
        <v>50</v>
      </c>
      <c r="J13" s="4">
        <v>46461</v>
      </c>
      <c r="K13" s="3" t="s">
        <v>547</v>
      </c>
      <c r="L13" s="3" t="s">
        <v>457</v>
      </c>
      <c r="M13" s="3" t="s">
        <v>458</v>
      </c>
    </row>
    <row r="14" spans="1:13" ht="72" x14ac:dyDescent="0.3">
      <c r="A14" s="3" t="s">
        <v>459</v>
      </c>
      <c r="B14" s="3" t="s">
        <v>210</v>
      </c>
      <c r="C14" s="3" t="s">
        <v>212</v>
      </c>
      <c r="D14" s="3" t="s">
        <v>217</v>
      </c>
      <c r="E14" s="3" t="s">
        <v>50</v>
      </c>
      <c r="F14" s="3" t="s">
        <v>460</v>
      </c>
      <c r="G14" s="3" t="s">
        <v>461</v>
      </c>
      <c r="H14" s="3" t="s">
        <v>104</v>
      </c>
      <c r="I14" s="3" t="s">
        <v>50</v>
      </c>
      <c r="J14" s="4">
        <v>46477</v>
      </c>
      <c r="K14" s="3" t="s">
        <v>547</v>
      </c>
      <c r="L14" s="3" t="s">
        <v>462</v>
      </c>
      <c r="M14" s="3" t="s">
        <v>463</v>
      </c>
    </row>
    <row r="15" spans="1:13" ht="72" x14ac:dyDescent="0.3">
      <c r="A15" s="3" t="s">
        <v>464</v>
      </c>
      <c r="B15" s="3" t="s">
        <v>228</v>
      </c>
      <c r="C15" s="3" t="s">
        <v>212</v>
      </c>
      <c r="D15" s="3" t="s">
        <v>234</v>
      </c>
      <c r="E15" s="3" t="s">
        <v>39</v>
      </c>
      <c r="F15" s="3" t="s">
        <v>465</v>
      </c>
      <c r="G15" s="3" t="s">
        <v>466</v>
      </c>
      <c r="H15" s="3" t="s">
        <v>206</v>
      </c>
      <c r="I15" s="3" t="s">
        <v>404</v>
      </c>
      <c r="J15" s="4">
        <v>46492</v>
      </c>
      <c r="K15" s="3" t="s">
        <v>547</v>
      </c>
      <c r="L15" s="3" t="s">
        <v>467</v>
      </c>
      <c r="M15" s="3" t="s">
        <v>468</v>
      </c>
    </row>
    <row r="16" spans="1:13" ht="57.6" x14ac:dyDescent="0.3">
      <c r="A16" s="3" t="s">
        <v>469</v>
      </c>
      <c r="B16" s="3" t="s">
        <v>245</v>
      </c>
      <c r="C16" s="3" t="s">
        <v>212</v>
      </c>
      <c r="D16" s="3" t="s">
        <v>251</v>
      </c>
      <c r="E16" s="3" t="s">
        <v>50</v>
      </c>
      <c r="F16" s="3" t="s">
        <v>470</v>
      </c>
      <c r="G16" s="3" t="s">
        <v>471</v>
      </c>
      <c r="H16" s="3" t="s">
        <v>206</v>
      </c>
      <c r="I16" s="3" t="s">
        <v>50</v>
      </c>
      <c r="J16" s="4">
        <v>46507</v>
      </c>
      <c r="K16" s="3" t="s">
        <v>547</v>
      </c>
      <c r="L16" s="3" t="s">
        <v>472</v>
      </c>
      <c r="M16" s="3" t="s">
        <v>473</v>
      </c>
    </row>
    <row r="17" spans="1:13" ht="57.6" x14ac:dyDescent="0.3">
      <c r="A17" s="3" t="s">
        <v>474</v>
      </c>
      <c r="B17" s="3" t="s">
        <v>254</v>
      </c>
      <c r="C17" s="3" t="s">
        <v>256</v>
      </c>
      <c r="D17" s="3" t="s">
        <v>262</v>
      </c>
      <c r="E17" s="3" t="s">
        <v>39</v>
      </c>
      <c r="F17" s="3" t="s">
        <v>475</v>
      </c>
      <c r="G17" s="3" t="s">
        <v>476</v>
      </c>
      <c r="H17" s="3" t="s">
        <v>260</v>
      </c>
      <c r="I17" s="3" t="s">
        <v>404</v>
      </c>
      <c r="J17" s="4">
        <v>46507</v>
      </c>
      <c r="K17" s="3" t="s">
        <v>547</v>
      </c>
      <c r="L17" s="3" t="s">
        <v>477</v>
      </c>
      <c r="M17" s="3" t="s">
        <v>478</v>
      </c>
    </row>
    <row r="18" spans="1:13" ht="57.6" x14ac:dyDescent="0.3">
      <c r="A18" s="3" t="s">
        <v>479</v>
      </c>
      <c r="B18" s="3" t="s">
        <v>265</v>
      </c>
      <c r="C18" s="3" t="s">
        <v>256</v>
      </c>
      <c r="D18" s="3" t="s">
        <v>271</v>
      </c>
      <c r="E18" s="3" t="s">
        <v>50</v>
      </c>
      <c r="F18" s="3" t="s">
        <v>480</v>
      </c>
      <c r="G18" s="3" t="s">
        <v>481</v>
      </c>
      <c r="H18" s="3" t="s">
        <v>260</v>
      </c>
      <c r="I18" s="3" t="s">
        <v>50</v>
      </c>
      <c r="J18" s="4">
        <v>46522</v>
      </c>
      <c r="K18" s="3" t="s">
        <v>547</v>
      </c>
      <c r="L18" s="3" t="s">
        <v>482</v>
      </c>
      <c r="M18" s="3" t="s">
        <v>483</v>
      </c>
    </row>
    <row r="19" spans="1:13" ht="57.6" x14ac:dyDescent="0.3">
      <c r="A19" s="3" t="s">
        <v>484</v>
      </c>
      <c r="B19" s="3" t="s">
        <v>274</v>
      </c>
      <c r="C19" s="3" t="s">
        <v>256</v>
      </c>
      <c r="D19" s="3" t="s">
        <v>281</v>
      </c>
      <c r="E19" s="3" t="s">
        <v>39</v>
      </c>
      <c r="F19" s="3" t="s">
        <v>485</v>
      </c>
      <c r="G19" s="3" t="s">
        <v>486</v>
      </c>
      <c r="H19" s="3" t="s">
        <v>279</v>
      </c>
      <c r="I19" s="3" t="s">
        <v>404</v>
      </c>
      <c r="J19" s="4">
        <v>46538</v>
      </c>
      <c r="K19" s="3" t="s">
        <v>547</v>
      </c>
      <c r="L19" s="3" t="s">
        <v>487</v>
      </c>
      <c r="M19" s="3" t="s">
        <v>488</v>
      </c>
    </row>
    <row r="20" spans="1:13" ht="72" x14ac:dyDescent="0.3">
      <c r="A20" s="3" t="s">
        <v>489</v>
      </c>
      <c r="B20" s="3" t="s">
        <v>291</v>
      </c>
      <c r="C20" s="3" t="s">
        <v>256</v>
      </c>
      <c r="D20" s="3" t="s">
        <v>297</v>
      </c>
      <c r="E20" s="3" t="s">
        <v>50</v>
      </c>
      <c r="F20" s="3" t="s">
        <v>490</v>
      </c>
      <c r="G20" s="3" t="s">
        <v>491</v>
      </c>
      <c r="H20" s="3" t="s">
        <v>279</v>
      </c>
      <c r="I20" s="3" t="s">
        <v>50</v>
      </c>
      <c r="J20" s="4">
        <v>46553</v>
      </c>
      <c r="K20" s="3" t="s">
        <v>547</v>
      </c>
      <c r="L20" s="3" t="s">
        <v>492</v>
      </c>
      <c r="M20" s="3" t="s">
        <v>493</v>
      </c>
    </row>
    <row r="21" spans="1:13" ht="57.6" x14ac:dyDescent="0.3">
      <c r="A21" s="3" t="s">
        <v>494</v>
      </c>
      <c r="B21" s="3" t="s">
        <v>300</v>
      </c>
      <c r="C21" s="3" t="s">
        <v>302</v>
      </c>
      <c r="D21" s="3" t="s">
        <v>307</v>
      </c>
      <c r="E21" s="3" t="s">
        <v>50</v>
      </c>
      <c r="F21" s="3" t="s">
        <v>495</v>
      </c>
      <c r="G21" s="3" t="s">
        <v>496</v>
      </c>
      <c r="H21" s="3" t="s">
        <v>196</v>
      </c>
      <c r="I21" s="3" t="s">
        <v>50</v>
      </c>
      <c r="J21" s="4">
        <v>46568</v>
      </c>
      <c r="K21" s="3" t="s">
        <v>547</v>
      </c>
      <c r="L21" s="3" t="s">
        <v>497</v>
      </c>
      <c r="M21" s="3" t="s">
        <v>498</v>
      </c>
    </row>
    <row r="22" spans="1:13" ht="57.6" x14ac:dyDescent="0.3">
      <c r="A22" s="3" t="s">
        <v>499</v>
      </c>
      <c r="B22" s="3" t="s">
        <v>310</v>
      </c>
      <c r="C22" s="3" t="s">
        <v>302</v>
      </c>
      <c r="D22" s="3" t="s">
        <v>316</v>
      </c>
      <c r="E22" s="3" t="s">
        <v>50</v>
      </c>
      <c r="F22" s="3" t="s">
        <v>500</v>
      </c>
      <c r="G22" s="3" t="s">
        <v>501</v>
      </c>
      <c r="H22" s="3" t="s">
        <v>196</v>
      </c>
      <c r="I22" s="3" t="s">
        <v>50</v>
      </c>
      <c r="J22" s="4">
        <v>46583</v>
      </c>
      <c r="K22" s="3" t="s">
        <v>547</v>
      </c>
      <c r="L22" s="3" t="s">
        <v>502</v>
      </c>
      <c r="M22" s="3" t="s">
        <v>503</v>
      </c>
    </row>
    <row r="23" spans="1:13" ht="57.6" x14ac:dyDescent="0.3">
      <c r="A23" s="3" t="s">
        <v>504</v>
      </c>
      <c r="B23" s="3" t="s">
        <v>328</v>
      </c>
      <c r="C23" s="3" t="s">
        <v>321</v>
      </c>
      <c r="D23" s="3" t="s">
        <v>334</v>
      </c>
      <c r="E23" s="3" t="s">
        <v>39</v>
      </c>
      <c r="F23" s="3" t="s">
        <v>505</v>
      </c>
      <c r="G23" s="3" t="s">
        <v>506</v>
      </c>
      <c r="H23" s="3" t="s">
        <v>196</v>
      </c>
      <c r="I23" s="3" t="s">
        <v>404</v>
      </c>
      <c r="J23" s="4">
        <v>46599</v>
      </c>
      <c r="K23" s="3" t="s">
        <v>547</v>
      </c>
      <c r="L23" s="3" t="s">
        <v>507</v>
      </c>
      <c r="M23" s="3" t="s">
        <v>508</v>
      </c>
    </row>
    <row r="24" spans="1:13" ht="57.6" x14ac:dyDescent="0.3">
      <c r="A24" s="3" t="s">
        <v>509</v>
      </c>
      <c r="B24" s="3" t="s">
        <v>337</v>
      </c>
      <c r="C24" s="3" t="s">
        <v>321</v>
      </c>
      <c r="D24" s="3" t="s">
        <v>343</v>
      </c>
      <c r="E24" s="3" t="s">
        <v>50</v>
      </c>
      <c r="F24" s="3" t="s">
        <v>510</v>
      </c>
      <c r="G24" s="3" t="s">
        <v>511</v>
      </c>
      <c r="H24" s="3" t="s">
        <v>196</v>
      </c>
      <c r="I24" s="3" t="s">
        <v>50</v>
      </c>
      <c r="J24" s="4">
        <v>46614</v>
      </c>
      <c r="K24" s="3" t="s">
        <v>547</v>
      </c>
      <c r="L24" s="3" t="s">
        <v>512</v>
      </c>
      <c r="M24" s="3" t="s">
        <v>513</v>
      </c>
    </row>
    <row r="25" spans="1:13" ht="57.6" x14ac:dyDescent="0.3">
      <c r="A25" s="3" t="s">
        <v>514</v>
      </c>
      <c r="B25" s="3" t="s">
        <v>355</v>
      </c>
      <c r="C25" s="3" t="s">
        <v>357</v>
      </c>
      <c r="D25" s="3" t="s">
        <v>362</v>
      </c>
      <c r="E25" s="3" t="s">
        <v>50</v>
      </c>
      <c r="F25" s="3" t="s">
        <v>515</v>
      </c>
      <c r="G25" s="3" t="s">
        <v>516</v>
      </c>
      <c r="H25" s="3" t="s">
        <v>149</v>
      </c>
      <c r="I25" s="3" t="s">
        <v>50</v>
      </c>
      <c r="J25" s="4">
        <v>46630</v>
      </c>
      <c r="K25" s="3" t="s">
        <v>547</v>
      </c>
      <c r="L25" s="3" t="s">
        <v>517</v>
      </c>
      <c r="M25" s="3" t="s">
        <v>518</v>
      </c>
    </row>
    <row r="26" spans="1:13" ht="57.6" x14ac:dyDescent="0.3">
      <c r="A26" s="3" t="s">
        <v>519</v>
      </c>
      <c r="B26" s="3" t="s">
        <v>374</v>
      </c>
      <c r="C26" s="3" t="s">
        <v>376</v>
      </c>
      <c r="D26" s="3" t="s">
        <v>381</v>
      </c>
      <c r="E26" s="3" t="s">
        <v>50</v>
      </c>
      <c r="F26" s="3" t="s">
        <v>520</v>
      </c>
      <c r="G26" s="3" t="s">
        <v>521</v>
      </c>
      <c r="H26" s="3" t="s">
        <v>185</v>
      </c>
      <c r="I26" s="3" t="s">
        <v>50</v>
      </c>
      <c r="J26" s="4">
        <v>46645</v>
      </c>
      <c r="K26" s="3" t="s">
        <v>547</v>
      </c>
      <c r="L26" s="3" t="s">
        <v>522</v>
      </c>
      <c r="M26" s="3" t="s">
        <v>523</v>
      </c>
    </row>
    <row r="27" spans="1:13" ht="72" x14ac:dyDescent="0.3">
      <c r="A27" s="3" t="s">
        <v>524</v>
      </c>
      <c r="B27" s="3" t="s">
        <v>384</v>
      </c>
      <c r="C27" s="3" t="s">
        <v>376</v>
      </c>
      <c r="D27" s="3" t="s">
        <v>390</v>
      </c>
      <c r="E27" s="3" t="s">
        <v>39</v>
      </c>
      <c r="F27" s="3" t="s">
        <v>525</v>
      </c>
      <c r="G27" s="3" t="s">
        <v>526</v>
      </c>
      <c r="H27" s="3" t="s">
        <v>23</v>
      </c>
      <c r="I27" s="3" t="s">
        <v>404</v>
      </c>
      <c r="J27" s="4">
        <v>46660</v>
      </c>
      <c r="K27" s="3" t="s">
        <v>547</v>
      </c>
      <c r="L27" s="3" t="s">
        <v>527</v>
      </c>
      <c r="M27" s="3" t="s">
        <v>528</v>
      </c>
    </row>
  </sheetData>
  <autoFilter ref="A1:M1" xr:uid="{00000000-0009-0000-0000-000001000000}"/>
  <dataValidations count="2">
    <dataValidation type="list" allowBlank="1" sqref="E2:E41 I2:I41" xr:uid="{00000000-0002-0000-0100-000000000000}">
      <formula1>"Critical,High,Moderate,Low"</formula1>
    </dataValidation>
    <dataValidation type="list" allowBlank="1" sqref="K2:K41" xr:uid="{00000000-0002-0000-0100-000001000000}">
      <formula1>"Planned,In Progress,Implemented,Validated,Deferred,Closed"</formula1>
    </dataValidation>
  </dataValidation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tabSelected="1" workbookViewId="0">
      <pane ySplit="1" topLeftCell="A5" activePane="bottomLeft" state="frozen"/>
      <selection pane="bottomLeft" activeCell="C22" sqref="C22"/>
    </sheetView>
  </sheetViews>
  <sheetFormatPr defaultRowHeight="14.4" x14ac:dyDescent="0.3"/>
  <cols>
    <col min="1" max="1" width="32" customWidth="1"/>
    <col min="2" max="2" width="65" customWidth="1"/>
  </cols>
  <sheetData>
    <row r="1" spans="1:2" x14ac:dyDescent="0.3">
      <c r="A1" s="7" t="s">
        <v>529</v>
      </c>
      <c r="B1" s="1" t="s">
        <v>530</v>
      </c>
    </row>
    <row r="2" spans="1:2" x14ac:dyDescent="0.3">
      <c r="A2" s="2" t="s">
        <v>531</v>
      </c>
      <c r="B2" s="2" t="s">
        <v>532</v>
      </c>
    </row>
    <row r="3" spans="1:2" x14ac:dyDescent="0.3">
      <c r="A3" s="2" t="s">
        <v>533</v>
      </c>
      <c r="B3" s="2" t="s">
        <v>534</v>
      </c>
    </row>
    <row r="4" spans="1:2" x14ac:dyDescent="0.3">
      <c r="A4" s="2" t="s">
        <v>535</v>
      </c>
      <c r="B4" s="2" t="s">
        <v>536</v>
      </c>
    </row>
    <row r="5" spans="1:2" x14ac:dyDescent="0.3">
      <c r="A5" s="2" t="s">
        <v>537</v>
      </c>
      <c r="B5" s="2">
        <v>40</v>
      </c>
    </row>
    <row r="6" spans="1:2" x14ac:dyDescent="0.3">
      <c r="A6" s="2" t="s">
        <v>538</v>
      </c>
      <c r="B6" s="2">
        <f>COUNTIF('Control Assessment'!K2:K41,"Effective")</f>
        <v>14</v>
      </c>
    </row>
    <row r="7" spans="1:2" x14ac:dyDescent="0.3">
      <c r="A7" s="2" t="s">
        <v>539</v>
      </c>
      <c r="B7" s="2">
        <f>COUNTIF('Control Assessment'!K2:K41,"Partially Effective")</f>
        <v>17</v>
      </c>
    </row>
    <row r="8" spans="1:2" x14ac:dyDescent="0.3">
      <c r="A8" s="2" t="s">
        <v>540</v>
      </c>
      <c r="B8" s="2">
        <f>COUNTIF('Control Assessment'!K2:K41,"Ineffective")</f>
        <v>9</v>
      </c>
    </row>
    <row r="9" spans="1:2" x14ac:dyDescent="0.3">
      <c r="A9" s="2" t="s">
        <v>541</v>
      </c>
      <c r="B9" s="2">
        <f>COUNTIF('Control Assessment'!K2:K41,"Not Applicable")</f>
        <v>0</v>
      </c>
    </row>
    <row r="10" spans="1:2" x14ac:dyDescent="0.3">
      <c r="A10" s="2" t="s">
        <v>542</v>
      </c>
      <c r="B10" s="2">
        <f>COUNTIF('Control Assessment'!M2:M41,"&lt;&gt;")</f>
        <v>26</v>
      </c>
    </row>
    <row r="11" spans="1:2" x14ac:dyDescent="0.3">
      <c r="A11" s="2" t="s">
        <v>543</v>
      </c>
      <c r="B11" s="2">
        <f>COUNTIF('Control Assessment'!M2:M41,"Critical")</f>
        <v>0</v>
      </c>
    </row>
    <row r="12" spans="1:2" x14ac:dyDescent="0.3">
      <c r="A12" s="2" t="s">
        <v>544</v>
      </c>
      <c r="B12" s="2">
        <f>COUNTIF('Control Assessment'!M2:M41,"High")</f>
        <v>17</v>
      </c>
    </row>
    <row r="13" spans="1:2" x14ac:dyDescent="0.3">
      <c r="A13" s="2" t="s">
        <v>545</v>
      </c>
      <c r="B13" s="2">
        <f>COUNTIF('Control Assessment'!M2:M41,"Moderate")</f>
        <v>9</v>
      </c>
    </row>
    <row r="14" spans="1:2" x14ac:dyDescent="0.3">
      <c r="A14" s="2" t="s">
        <v>546</v>
      </c>
      <c r="B14" s="2">
        <f>COUNTIF('Control Assessment'!M2:M41,"Low")</f>
        <v>0</v>
      </c>
    </row>
    <row r="15" spans="1:2" x14ac:dyDescent="0.3">
      <c r="A15" s="2" t="s">
        <v>551</v>
      </c>
      <c r="B15">
        <f>COUNTIF('Control Assessment'!Q:Q,"Validated")</f>
        <v>14</v>
      </c>
    </row>
    <row r="16" spans="1:2" x14ac:dyDescent="0.3">
      <c r="A16" s="2" t="s">
        <v>548</v>
      </c>
      <c r="B16">
        <f>COUNTIF('Control Assessment'!Q:Q,"In Progress")</f>
        <v>10</v>
      </c>
    </row>
    <row r="17" spans="1:2" x14ac:dyDescent="0.3">
      <c r="A17" s="2" t="s">
        <v>549</v>
      </c>
      <c r="B17">
        <f>COUNTIF('Control Assessment'!Q:Q,"Not Started")</f>
        <v>16</v>
      </c>
    </row>
    <row r="18" spans="1:2" x14ac:dyDescent="0.3">
      <c r="A18" s="2" t="s">
        <v>550</v>
      </c>
      <c r="B18" s="6">
        <f>COUNTIF('Control Assessment'!K2:K41,"Effective")/COUNTA('Control Assessment'!A2:A41)</f>
        <v>0.35</v>
      </c>
    </row>
    <row r="20" spans="1:2" x14ac:dyDescent="0.3">
      <c r="A20" s="2" t="s">
        <v>9</v>
      </c>
      <c r="B20" s="2" t="s">
        <v>554</v>
      </c>
    </row>
    <row r="21" spans="1:2" x14ac:dyDescent="0.3">
      <c r="A21" s="2" t="s">
        <v>553</v>
      </c>
      <c r="B21" t="s">
        <v>42</v>
      </c>
    </row>
    <row r="22" spans="1:2" x14ac:dyDescent="0.3">
      <c r="A22" s="2" t="s">
        <v>15</v>
      </c>
      <c r="B22" t="s">
        <v>42</v>
      </c>
    </row>
  </sheetData>
  <autoFilter ref="A1:B15" xr:uid="{00000000-0009-0000-0000-000002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 Assessment</vt:lpstr>
      <vt:lpstr>Remediation Plan</vt:lpstr>
      <vt:lpstr>Assessment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Axiom AI Technologies — Security Controls Assessment &amp; Gap Analysis</dc:title>
  <dc:subject>Cybersecurity GRC control assessment workbook</dc:subject>
  <dc:creator>Kobie Dos Santos</dc:creator>
  <cp:lastModifiedBy>EA - Yara Hkaimah Abou Fakher</cp:lastModifiedBy>
  <dcterms:created xsi:type="dcterms:W3CDTF">2026-09-15T20:02:55Z</dcterms:created>
  <dcterms:modified xsi:type="dcterms:W3CDTF">2026-09-18T18:20:21Z</dcterms:modified>
</cp:coreProperties>
</file>