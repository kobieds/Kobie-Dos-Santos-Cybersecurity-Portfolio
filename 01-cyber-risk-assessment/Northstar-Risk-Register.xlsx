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Sheet1!$A$1:$Z$1</definedName>
    <definedName name="MY_FUNCTION4">LAMBDA(IF(Sheet1!$S$2="","",IF(Sheet1!$S$2&lt;=4,"Low",IF(Sheet1!$S$2&lt;=9,"Moderate",IF(Sheet1!$S$2&lt;=16,"High","Critical")))))</definedName>
    <definedName name="MY_FUNCTION1">LAMBDA(IF(OR(Sheet1!$I$2="",Sheet1!$J$2=""),"",Sheet1!$I$2*Sheet1!$J$2))</definedName>
    <definedName name="MY_FUNCTION2">LAMBDA(IF(Sheet1!$K$2="","",IF(Sheet1!$K$2&lt;=4,"Low",IF(Sheet1!$K$2&lt;=9,"Moderate",IF(Sheet1!$K$2&lt;=16,"High","Critical")))))</definedName>
    <definedName name="MY_FUNCTION3">LAMBDA(IF(OR(Sheet1!$Q$2="",Sheet1!$R$2=""),"",Sheet1!$Q$2*Sheet1!$R$2))</definedName>
  </definedNames>
  <calcPr/>
</workbook>
</file>

<file path=xl/sharedStrings.xml><?xml version="1.0" encoding="utf-8"?>
<sst xmlns="http://schemas.openxmlformats.org/spreadsheetml/2006/main" count="185" uniqueCount="160">
  <si>
    <t>Risk ID</t>
  </si>
  <si>
    <t>Risk Title</t>
  </si>
  <si>
    <t>Asset ID</t>
  </si>
  <si>
    <t>Asset / Process</t>
  </si>
  <si>
    <t>Risk Description</t>
  </si>
  <si>
    <t>Threat</t>
  </si>
  <si>
    <t>Vulnerability / Weakness</t>
  </si>
  <si>
    <t>Existing Controls</t>
  </si>
  <si>
    <t>Likelihood</t>
  </si>
  <si>
    <t>Impact</t>
  </si>
  <si>
    <t>Inherent Risk Score</t>
  </si>
  <si>
    <t>Inherent Risk Level</t>
  </si>
  <si>
    <t>Risk Owner</t>
  </si>
  <si>
    <t>Treatment Strategy</t>
  </si>
  <si>
    <t>Treatment Actions</t>
  </si>
  <si>
    <t>Target Date</t>
  </si>
  <si>
    <t>Residual Likelihood</t>
  </si>
  <si>
    <t>Residual Impact</t>
  </si>
  <si>
    <t>Residual Risk Score</t>
  </si>
  <si>
    <t>Residual Risk Level</t>
  </si>
  <si>
    <t>R-001</t>
  </si>
  <si>
    <t>Unauthorized Access to Customer &amp; Patient Data</t>
  </si>
  <si>
    <t>AST-001</t>
  </si>
  <si>
    <t>Customer &amp; Patient Data Repository</t>
  </si>
  <si>
    <t>Unauthorized access to sensitive customer and patient-related information could result in data exposure, privacy violations, regulatory consequences, and loss of customer trust.</t>
  </si>
  <si>
    <t>Compromised credentials, malicious insider activity, or unauthorized user access</t>
  </si>
  <si>
    <t>Excessive access privileges, insufficient access reviews, or weaknesses in authentication and authorization controls</t>
  </si>
  <si>
    <t>Role-based access control; MFA; least-privilege principles; access reviews; identity lifecycle management; security logging</t>
  </si>
  <si>
    <t>CISO</t>
  </si>
  <si>
    <t>Mitigate</t>
  </si>
  <si>
    <t>Strengthen role-based access controls; perform periodic privileged-access reviews; enforce MFA for all administrative access; monitor anomalous access activity; remove unnecessary permissions</t>
  </si>
  <si>
    <t>R-002</t>
  </si>
  <si>
    <t>Unauthorized Modification of Customer &amp; Patient Data</t>
  </si>
  <si>
    <t>Unauthorized or improper modification of customer and patient-related data could compromise data integrity, disrupt healthcare workflows, and result in incorrect or unreliable information being used by customers or internal personnel.</t>
  </si>
  <si>
    <t>Malicious insider activity, compromised privileged account, or unauthorized application activity</t>
  </si>
  <si>
    <t>Excessive database privileges, inadequate change controls, insufficient monitoring of data modifications, or weak separation of duties</t>
  </si>
  <si>
    <t>Role-based access control; least privilege; change management; database access restrictions; audit logging; backup and recovery procedures</t>
  </si>
  <si>
    <t>Restrict privileged database access; implement stronger database activity monitoring; review privileged access regularly; strengthen change approval requirements; validate backup integrity through periodic recovery testing</t>
  </si>
  <si>
    <t>R-003</t>
  </si>
  <si>
    <t>Customer Web Application Compromise</t>
  </si>
  <si>
    <t>AST-002</t>
  </si>
  <si>
    <t>Customer Web Application</t>
  </si>
  <si>
    <t>Exploitation of vulnerabilities in the internet-facing customer application could allow unauthorized access, service disruption, or compromise of sensitive customer information.</t>
  </si>
  <si>
    <t>External attacker exploiting application vulnerabilities</t>
  </si>
  <si>
    <t>Unpatched software, insecure application configurations, coding vulnerabilities, or inadequate security testing</t>
  </si>
  <si>
    <t>Secure development practices; vulnerability management; code review; change management; access controls; security monitoring</t>
  </si>
  <si>
    <t>VP Engineering</t>
  </si>
  <si>
    <t>Strengthen secure SDLC requirements; perform recurring application security testing; prioritize remediation of critical vulnerabilities; implement security-focused code reviews; monitor application activity for indicators of compromise</t>
  </si>
  <si>
    <t>R-004</t>
  </si>
  <si>
    <t>API Security / Unauthorized Access</t>
  </si>
  <si>
    <t>AST-003</t>
  </si>
  <si>
    <t>Applicaion Layer</t>
  </si>
  <si>
    <t>Inadequate API security could allow unauthorized access to application functions or data, resulting in data exposure, service disruption, or abuse of application capabilities.</t>
  </si>
  <si>
    <t>External attacker exploiting API vulnerabilities or compromised credentials</t>
  </si>
  <si>
    <t>Weak authentication or authorization controls, insufficient input validation, insecure API configurations, or inadequate API security testing</t>
  </si>
  <si>
    <t>API authentication and authorization; input validation; access controls; secure development practices; logging and monitoring; vulnerability management</t>
  </si>
  <si>
    <t>Strengthen API authentication and authorization; implement consistent input validation; perform recurring API security testing; review exposed endpoints; monitor API activity for suspicious behavior</t>
  </si>
  <si>
    <t>R-005</t>
  </si>
  <si>
    <t>Cloud Misconfiguration</t>
  </si>
  <si>
    <t>AST-004</t>
  </si>
  <si>
    <t>AWS Production Evnironment</t>
  </si>
  <si>
    <t>Misconfigured cloud infrastructure or security settings could expose systems or data, enable unauthorized access, or disrupt production services.</t>
  </si>
  <si>
    <t>External attacker exploiting exposed cloud resources or misconfigured services</t>
  </si>
  <si>
    <t>Insecure security-group rules, excessive permissions, publicly exposed resources, configuration drift, or insufficient cloud security monitoring</t>
  </si>
  <si>
    <t>IAM; least privilege; security groups; configuration management; vulnerability management; security monitoring; change management</t>
  </si>
  <si>
    <t>CTO</t>
  </si>
  <si>
    <t>Implement continuous cloud configuration monitoring; review security-group rules and IAM permissions; remove unnecessary public exposure; establish configuration baselines; remediate high-risk configuration findings</t>
  </si>
  <si>
    <t>R-006</t>
  </si>
  <si>
    <t>Account Compromise / Excessive Privileges</t>
  </si>
  <si>
    <t>AST-005</t>
  </si>
  <si>
    <t>Identity &amp; Access Management</t>
  </si>
  <si>
    <t>Compromise of user or privileged accounts, combined with excessive permissions, could allow unauthorized access to critical systems and sensitive information.</t>
  </si>
  <si>
    <t>Credential theft, phishing, credential stuffing, or malicious insider activity</t>
  </si>
  <si>
    <t>Excessive privileges, weak authentication, stale accounts, inadequate access reviews, or ineffective privileged-access controls</t>
  </si>
  <si>
    <t>MFA; role-based access control; least privilege; identity lifecycle management; access reviews; security logging</t>
  </si>
  <si>
    <t>Enforce MFA across critical systems; strengthen privileged-access controls; perform periodic access reviews; remove stale accounts and unnecessary permissions; monitor authentication activity for anomalous behavior</t>
  </si>
  <si>
    <t>R-007</t>
  </si>
  <si>
    <t>Insufficient Security Monitoring</t>
  </si>
  <si>
    <t>AST-006</t>
  </si>
  <si>
    <t>Security Logging &amp; Monitoring</t>
  </si>
  <si>
    <t>Inadequate security logging, monitoring, or alerting could delay detection and response to unauthorized activity, increasing the potential impact of security incidents.</t>
  </si>
  <si>
    <t>Cyber attacker, malicious insider, or unauthorized activity</t>
  </si>
  <si>
    <t>Incomplete log coverage, insufficient alerting, excessive alert noise, inadequate monitoring of critical systems, or delayed investigation</t>
  </si>
  <si>
    <t>Centralized logging; security monitoring; alerting; incident response procedures; access controls; log retention</t>
  </si>
  <si>
    <t xml:space="preserve">CISO </t>
  </si>
  <si>
    <t>Expand monitoring coverage for critical systems; improve security alerting and correlation; establish monitoring use cases for high-risk events; tune alert thresholds; conduct periodic log-source and detection reviews</t>
  </si>
  <si>
    <t>R-008</t>
  </si>
  <si>
    <t>Backup Failure / Recovery Failure</t>
  </si>
  <si>
    <t>AST-007</t>
  </si>
  <si>
    <t xml:space="preserve">Backup &amp; Recovery Repository </t>
  </si>
  <si>
    <t>Failure to create, protect, or successfully restore backups could result in permanent or prolonged loss of critical data and extended service disruption following a security incident or system failure.</t>
  </si>
  <si>
    <t>Ransomware, system failure, data corruption, accidental deletion, or cloud service disruption</t>
  </si>
  <si>
    <t>Incomplete backup coverage, failed backup jobs, inadequate backup protection, untested recovery procedures, or insufficient recovery monitoring</t>
  </si>
  <si>
    <t>Automated backups; backup monitoring; access controls; recovery procedures; backup retention; disaster recovery planning</t>
  </si>
  <si>
    <t>COO</t>
  </si>
  <si>
    <t>Monitor backup jobs and failures; protect backups against unauthorized modification or deletion; perform periodic restoration testing; validate backup coverage for critical systems; document and test recovery procedures</t>
  </si>
  <si>
    <t>R-009</t>
  </si>
  <si>
    <t>Endpoint Compromise</t>
  </si>
  <si>
    <t>AST-008</t>
  </si>
  <si>
    <t>Corporate Endpoint Fleet</t>
  </si>
  <si>
    <t>Compromise of corporate endpoints could provide attackers with unauthorized access to company systems, credentials, sensitive information, or internal resources.</t>
  </si>
  <si>
    <t>Malware, phishing, ransomware, or malicious software</t>
  </si>
  <si>
    <t>Unpatched endpoint software, malicious downloads, weak endpoint configuration, inadequate endpoint protection, or user credential compromise</t>
  </si>
  <si>
    <t>Endpoint security platform; patch management; MFA; device management; security awareness training; access controls</t>
  </si>
  <si>
    <t>Strengthen endpoint protection policies; enforce timely security patching; monitor endpoint security alerts; restrict unauthorized software; improve phishing resistance and security awareness; review endpoint compliance regularly</t>
  </si>
  <si>
    <t>R-010</t>
  </si>
  <si>
    <t>Unauthorized Source-Code Access</t>
  </si>
  <si>
    <t>AST-010</t>
  </si>
  <si>
    <t>Source Code Repository</t>
  </si>
  <si>
    <t>Unauthorized access to source code could expose proprietary intellectual property, introduce malicious changes, or provide attackers with information that could facilitate compromise of production systems.</t>
  </si>
  <si>
    <t>Compromised developer account, malicious insider, or unauthorized third party</t>
  </si>
  <si>
    <t>Excessive repository permissions, inadequate access reviews, weak branch protections, or insufficient monitoring of repository activity</t>
  </si>
  <si>
    <t>Role-based repository access; MFA; branch protection; code review; access reviews; audit logging</t>
  </si>
  <si>
    <t>Enforce least-privilege repository permissions; strengthen branch protection; conduct periodic access reviews; require MFA; monitor repository activity for suspicious changes or access patterns</t>
  </si>
  <si>
    <t>R-011</t>
  </si>
  <si>
    <t>Unauthorized or Malicious Deployment</t>
  </si>
  <si>
    <t>AST-011</t>
  </si>
  <si>
    <t>CI/CD Pipeline</t>
  </si>
  <si>
    <t>Unauthorized or malicious changes introduced through the CI/CD pipeline could result in compromised production systems, service disruption, or deployment of vulnerable code.</t>
  </si>
  <si>
    <t>Compromised developer account, malicious insider, or attacker compromising the deployment pipeline</t>
  </si>
  <si>
    <t>Excessive pipeline permissions, inadequate separation of duties, weak change controls, insecure pipeline configurations, or insufficient deployment validation</t>
  </si>
  <si>
    <t>Change management; code review; branch protection; access controls; deployment logging; testing requirements</t>
  </si>
  <si>
    <t>Strengthen CI/CD access controls; enforce separation of duties; require approval for production deployments; protect pipeline credentials and secrets; implement deployment monitoring and audit trails</t>
  </si>
  <si>
    <t>R-012</t>
  </si>
  <si>
    <t>Credential / Secret Exposure</t>
  </si>
  <si>
    <t>AST-012</t>
  </si>
  <si>
    <t>Secrets &amp; Credential Store</t>
  </si>
  <si>
    <t>Exposure or unauthorized disclosure of credentials, API keys, tokens, or other secrets could enable attackers to access applications, cloud infrastructure, or sensitive data.</t>
  </si>
  <si>
    <t>Credential theft, accidental disclosure, malicious insider activity, or compromised development environment</t>
  </si>
  <si>
    <t>Hardcoded credentials, excessive access permissions, inadequate secret rotation, accidental disclosure, or insufficient monitoring of secret usage</t>
  </si>
  <si>
    <t>Centralized secrets management; access controls; least privilege; MFA; credential rotation; security monitoring</t>
  </si>
  <si>
    <t>Enforce centralized secrets management; prohibit hardcoded credentials; strengthen access controls; implement automated secret rotation; monitor secret access; periodically review privileged credentials</t>
  </si>
  <si>
    <t>R-013</t>
  </si>
  <si>
    <t>Third-Party Security Risk</t>
  </si>
  <si>
    <t>AST-15</t>
  </si>
  <si>
    <t>Vendor &amp; Third-Party Records</t>
  </si>
  <si>
    <t>A security weakness or control failure at a third-party provider could expose Northstar systems or data, disrupt critical services, or create compliance and operational risks.</t>
  </si>
  <si>
    <t>Third-party compromise, supply-chain attack, vendor insider threat, or security control failure</t>
  </si>
  <si>
    <t>Incomplete vendor due diligence, insufficient security requirements, inadequate ongoing monitoring, or limited visibility into third-party security controls</t>
  </si>
  <si>
    <t>Vendor security assessments; contractual security requirements; risk classification; access controls; supplier monitoring; incident notification requirements</t>
  </si>
  <si>
    <t>Strengthen third-party due diligence; classify vendors by risk; require appropriate security and incident-notification provisions; conduct periodic reassessments; track remediation of identified vendor risks</t>
  </si>
  <si>
    <t>R-014</t>
  </si>
  <si>
    <t>Delayed Vulnerability Remediation</t>
  </si>
  <si>
    <t>AST-019</t>
  </si>
  <si>
    <t>Vulnerability Management</t>
  </si>
  <si>
    <t>Delayed identification, prioritization, or remediation of security vulnerabilities could leave critical systems exposed to exploitation and increase the likelihood of a security incident.</t>
  </si>
  <si>
    <t>External attacker exploiting known vulnerabilities</t>
  </si>
  <si>
    <t>Incomplete asset coverage, ineffective vulnerability prioritization, remediation delays, or insufficient tracking and escalation</t>
  </si>
  <si>
    <t>Vulnerability scanning; risk-based prioritization; remediation tracking; patch management; security monitoring; vulnerability reporting</t>
  </si>
  <si>
    <t>Establish risk-based remediation timelines; prioritize critical and exploitable vulnerabilities; improve asset coverage; track remediation through defined ownership and escalation; report overdue vulnerabilities to leadership</t>
  </si>
  <si>
    <t>R-015</t>
  </si>
  <si>
    <t>Customer Information Exposure</t>
  </si>
  <si>
    <t>AST-020</t>
  </si>
  <si>
    <t>Customer Support &amp; Case Management</t>
  </si>
  <si>
    <t>Unauthorized access to customer support records could expose sensitive customer information, support history, or information submitted during customer interactions.</t>
  </si>
  <si>
    <t>Unauthorized user, compromised account, malicious insider, or third-party access</t>
  </si>
  <si>
    <t>Excessive access permissions, inadequate access reviews, weak authentication, insufficient data protection, or improper handling of customer information</t>
  </si>
  <si>
    <t>Role-based access control; MFA; least privilege; access reviews; security logging; data protection requirements</t>
  </si>
  <si>
    <t>Head of Customer Success</t>
  </si>
  <si>
    <t>Restrict access to customer records based on business need; conduct periodic access reviews; enforce MFA; strengthen data handling requirements; monitor access to sensitive customer information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</si>
</sst>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164" xfId="0" applyAlignment="1" applyFont="1" applyNumberForma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19.63"/>
    <col customWidth="1" min="5" max="5" width="39.13"/>
    <col customWidth="1" min="7" max="7" width="41.0"/>
    <col customWidth="1" min="8" max="8" width="36.25"/>
    <col customWidth="1" min="11" max="11" width="21.25"/>
    <col customWidth="1" min="12" max="12" width="19.63"/>
    <col customWidth="1" min="14" max="14" width="19.5"/>
    <col customWidth="1" min="15" max="15" width="30.5"/>
    <col customWidth="1" min="17" max="17" width="17.13"/>
    <col customWidth="1" min="18" max="18" width="17.88"/>
    <col customWidth="1" min="19" max="19" width="20.13"/>
    <col customWidth="1" min="20" max="20" width="1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2"/>
      <c r="V1" s="2"/>
      <c r="W1" s="2"/>
      <c r="X1" s="2"/>
      <c r="Y1" s="2"/>
      <c r="Z1" s="2"/>
    </row>
    <row r="2">
      <c r="A2" s="3" t="s">
        <v>20</v>
      </c>
      <c r="B2" s="3" t="s">
        <v>21</v>
      </c>
      <c r="C2" s="3" t="s">
        <v>22</v>
      </c>
      <c r="D2" s="3" t="s">
        <v>23</v>
      </c>
      <c r="E2" s="3" t="s">
        <v>24</v>
      </c>
      <c r="F2" s="3" t="s">
        <v>25</v>
      </c>
      <c r="G2" s="3" t="s">
        <v>26</v>
      </c>
      <c r="H2" s="3" t="s">
        <v>27</v>
      </c>
      <c r="I2" s="3">
        <v>4.0</v>
      </c>
      <c r="J2" s="3">
        <v>5.0</v>
      </c>
      <c r="K2" s="4">
        <f t="shared" ref="K2:K10" si="1">IF(OR(I2="",J2=""),"",I2*J2)</f>
        <v>20</v>
      </c>
      <c r="L2" s="4" t="str">
        <f t="shared" ref="L2:L16" si="2">IF(K2="","",IF(K2&lt;=4,"Low",IF(K2&lt;=9,"Moderate",IF(K2&lt;=16,"High","Critical"))))</f>
        <v>Critical</v>
      </c>
      <c r="M2" s="3" t="s">
        <v>28</v>
      </c>
      <c r="N2" s="3" t="s">
        <v>29</v>
      </c>
      <c r="O2" s="3" t="s">
        <v>30</v>
      </c>
      <c r="P2" s="5">
        <v>46387.0</v>
      </c>
      <c r="Q2" s="3">
        <v>2.0</v>
      </c>
      <c r="R2" s="3">
        <v>5.0</v>
      </c>
      <c r="S2" s="4">
        <f t="shared" ref="S2:S16" si="3">IF(OR(Q2="",R2=""),"",Q2*R2)</f>
        <v>10</v>
      </c>
      <c r="T2" s="4" t="str">
        <f t="shared" ref="T2:T16" si="4">IF(S2="","",IF(S2&lt;=4,"Low",IF(S2&lt;=9,"Moderate",IF(S2&lt;=16,"High","Critical"))))</f>
        <v>High</v>
      </c>
      <c r="U2" s="4"/>
      <c r="V2" s="4"/>
      <c r="W2" s="4"/>
      <c r="X2" s="4"/>
      <c r="Y2" s="4"/>
      <c r="Z2" s="4"/>
    </row>
    <row r="3">
      <c r="A3" s="3" t="s">
        <v>31</v>
      </c>
      <c r="B3" s="3" t="s">
        <v>32</v>
      </c>
      <c r="C3" s="3" t="s">
        <v>22</v>
      </c>
      <c r="D3" s="3" t="s">
        <v>23</v>
      </c>
      <c r="E3" s="3" t="s">
        <v>33</v>
      </c>
      <c r="F3" s="3" t="s">
        <v>34</v>
      </c>
      <c r="G3" s="3" t="s">
        <v>35</v>
      </c>
      <c r="H3" s="3" t="s">
        <v>36</v>
      </c>
      <c r="I3" s="3">
        <v>3.0</v>
      </c>
      <c r="J3" s="3">
        <v>5.0</v>
      </c>
      <c r="K3" s="4">
        <f t="shared" si="1"/>
        <v>15</v>
      </c>
      <c r="L3" s="4" t="str">
        <f t="shared" si="2"/>
        <v>High</v>
      </c>
      <c r="M3" s="3" t="s">
        <v>28</v>
      </c>
      <c r="N3" s="3" t="s">
        <v>29</v>
      </c>
      <c r="O3" s="3" t="s">
        <v>37</v>
      </c>
      <c r="P3" s="5">
        <v>46387.0</v>
      </c>
      <c r="Q3" s="3">
        <v>2.0</v>
      </c>
      <c r="R3" s="3">
        <v>5.0</v>
      </c>
      <c r="S3" s="4">
        <f t="shared" si="3"/>
        <v>10</v>
      </c>
      <c r="T3" s="4" t="str">
        <f t="shared" si="4"/>
        <v>High</v>
      </c>
      <c r="U3" s="4"/>
      <c r="V3" s="4"/>
      <c r="W3" s="4"/>
      <c r="X3" s="4"/>
      <c r="Y3" s="4"/>
      <c r="Z3" s="4"/>
    </row>
    <row r="4">
      <c r="A4" s="3" t="s">
        <v>38</v>
      </c>
      <c r="B4" s="3" t="s">
        <v>39</v>
      </c>
      <c r="C4" s="3" t="s">
        <v>40</v>
      </c>
      <c r="D4" s="3" t="s">
        <v>41</v>
      </c>
      <c r="E4" s="3" t="s">
        <v>42</v>
      </c>
      <c r="F4" s="3" t="s">
        <v>43</v>
      </c>
      <c r="G4" s="3" t="s">
        <v>44</v>
      </c>
      <c r="H4" s="3" t="s">
        <v>45</v>
      </c>
      <c r="I4" s="3">
        <v>4.0</v>
      </c>
      <c r="J4" s="3">
        <v>5.0</v>
      </c>
      <c r="K4" s="4">
        <f t="shared" si="1"/>
        <v>20</v>
      </c>
      <c r="L4" s="4" t="str">
        <f t="shared" si="2"/>
        <v>Critical</v>
      </c>
      <c r="M4" s="3" t="s">
        <v>46</v>
      </c>
      <c r="N4" s="3" t="s">
        <v>29</v>
      </c>
      <c r="O4" s="3" t="s">
        <v>47</v>
      </c>
      <c r="P4" s="5">
        <v>46387.0</v>
      </c>
      <c r="Q4" s="3">
        <v>2.0</v>
      </c>
      <c r="R4" s="3">
        <v>5.0</v>
      </c>
      <c r="S4" s="4">
        <f t="shared" si="3"/>
        <v>10</v>
      </c>
      <c r="T4" s="4" t="str">
        <f t="shared" si="4"/>
        <v>High</v>
      </c>
      <c r="U4" s="4"/>
      <c r="V4" s="4"/>
      <c r="W4" s="4"/>
      <c r="X4" s="4"/>
      <c r="Y4" s="4"/>
      <c r="Z4" s="4"/>
    </row>
    <row r="5">
      <c r="A5" s="3" t="s">
        <v>48</v>
      </c>
      <c r="B5" s="3" t="s">
        <v>49</v>
      </c>
      <c r="C5" s="3" t="s">
        <v>50</v>
      </c>
      <c r="D5" s="3" t="s">
        <v>51</v>
      </c>
      <c r="E5" s="3" t="s">
        <v>52</v>
      </c>
      <c r="F5" s="3" t="s">
        <v>53</v>
      </c>
      <c r="G5" s="3" t="s">
        <v>54</v>
      </c>
      <c r="H5" s="3" t="s">
        <v>55</v>
      </c>
      <c r="I5" s="3">
        <v>4.0</v>
      </c>
      <c r="J5" s="3">
        <v>5.0</v>
      </c>
      <c r="K5" s="4">
        <f t="shared" si="1"/>
        <v>20</v>
      </c>
      <c r="L5" s="4" t="str">
        <f t="shared" si="2"/>
        <v>Critical</v>
      </c>
      <c r="M5" s="3" t="s">
        <v>46</v>
      </c>
      <c r="N5" s="3" t="s">
        <v>29</v>
      </c>
      <c r="O5" s="3" t="s">
        <v>56</v>
      </c>
      <c r="P5" s="5">
        <v>46387.0</v>
      </c>
      <c r="Q5" s="3">
        <v>2.0</v>
      </c>
      <c r="R5" s="3">
        <v>5.0</v>
      </c>
      <c r="S5" s="4">
        <f t="shared" si="3"/>
        <v>10</v>
      </c>
      <c r="T5" s="4" t="str">
        <f t="shared" si="4"/>
        <v>High</v>
      </c>
      <c r="U5" s="4"/>
      <c r="V5" s="4"/>
      <c r="W5" s="4"/>
      <c r="X5" s="4"/>
      <c r="Y5" s="4"/>
      <c r="Z5" s="4"/>
    </row>
    <row r="6">
      <c r="A6" s="3" t="s">
        <v>57</v>
      </c>
      <c r="B6" s="3" t="s">
        <v>58</v>
      </c>
      <c r="C6" s="3" t="s">
        <v>59</v>
      </c>
      <c r="D6" s="3" t="s">
        <v>60</v>
      </c>
      <c r="E6" s="3" t="s">
        <v>61</v>
      </c>
      <c r="F6" s="3" t="s">
        <v>62</v>
      </c>
      <c r="G6" s="3" t="s">
        <v>63</v>
      </c>
      <c r="H6" s="3" t="s">
        <v>64</v>
      </c>
      <c r="I6" s="3">
        <v>4.0</v>
      </c>
      <c r="J6" s="3">
        <v>5.0</v>
      </c>
      <c r="K6" s="4">
        <f t="shared" si="1"/>
        <v>20</v>
      </c>
      <c r="L6" s="4" t="str">
        <f t="shared" si="2"/>
        <v>Critical</v>
      </c>
      <c r="M6" s="3" t="s">
        <v>65</v>
      </c>
      <c r="N6" s="3" t="s">
        <v>29</v>
      </c>
      <c r="O6" s="3" t="s">
        <v>66</v>
      </c>
      <c r="P6" s="5">
        <v>46387.0</v>
      </c>
      <c r="Q6" s="3">
        <v>2.0</v>
      </c>
      <c r="R6" s="3">
        <v>5.0</v>
      </c>
      <c r="S6" s="4">
        <f t="shared" si="3"/>
        <v>10</v>
      </c>
      <c r="T6" s="4" t="str">
        <f t="shared" si="4"/>
        <v>High</v>
      </c>
      <c r="U6" s="4"/>
      <c r="V6" s="4"/>
      <c r="W6" s="4"/>
      <c r="X6" s="4"/>
      <c r="Y6" s="4"/>
      <c r="Z6" s="4"/>
    </row>
    <row r="7">
      <c r="A7" s="3" t="s">
        <v>67</v>
      </c>
      <c r="B7" s="3" t="s">
        <v>68</v>
      </c>
      <c r="C7" s="3" t="s">
        <v>69</v>
      </c>
      <c r="D7" s="3" t="s">
        <v>70</v>
      </c>
      <c r="E7" s="3" t="s">
        <v>71</v>
      </c>
      <c r="F7" s="3" t="s">
        <v>72</v>
      </c>
      <c r="G7" s="3" t="s">
        <v>73</v>
      </c>
      <c r="H7" s="3" t="s">
        <v>74</v>
      </c>
      <c r="I7" s="3">
        <v>4.0</v>
      </c>
      <c r="J7" s="3">
        <v>5.0</v>
      </c>
      <c r="K7" s="4">
        <f t="shared" si="1"/>
        <v>20</v>
      </c>
      <c r="L7" s="4" t="str">
        <f t="shared" si="2"/>
        <v>Critical</v>
      </c>
      <c r="M7" s="3" t="s">
        <v>28</v>
      </c>
      <c r="N7" s="3" t="s">
        <v>29</v>
      </c>
      <c r="O7" s="3" t="s">
        <v>75</v>
      </c>
      <c r="P7" s="5">
        <v>46387.0</v>
      </c>
      <c r="Q7" s="3">
        <v>2.0</v>
      </c>
      <c r="R7" s="3">
        <v>5.0</v>
      </c>
      <c r="S7" s="4">
        <f t="shared" si="3"/>
        <v>10</v>
      </c>
      <c r="T7" s="4" t="str">
        <f t="shared" si="4"/>
        <v>High</v>
      </c>
      <c r="U7" s="4"/>
      <c r="V7" s="4"/>
      <c r="W7" s="4"/>
      <c r="X7" s="4"/>
      <c r="Y7" s="4"/>
      <c r="Z7" s="4"/>
    </row>
    <row r="8">
      <c r="A8" s="3" t="s">
        <v>76</v>
      </c>
      <c r="B8" s="3" t="s">
        <v>77</v>
      </c>
      <c r="C8" s="3" t="s">
        <v>78</v>
      </c>
      <c r="D8" s="3" t="s">
        <v>79</v>
      </c>
      <c r="E8" s="3" t="s">
        <v>80</v>
      </c>
      <c r="F8" s="3" t="s">
        <v>81</v>
      </c>
      <c r="G8" s="3" t="s">
        <v>82</v>
      </c>
      <c r="H8" s="3" t="s">
        <v>83</v>
      </c>
      <c r="I8" s="3">
        <v>3.0</v>
      </c>
      <c r="J8" s="3">
        <v>4.0</v>
      </c>
      <c r="K8" s="4">
        <f t="shared" si="1"/>
        <v>12</v>
      </c>
      <c r="L8" s="4" t="str">
        <f t="shared" si="2"/>
        <v>High</v>
      </c>
      <c r="M8" s="3" t="s">
        <v>84</v>
      </c>
      <c r="N8" s="3" t="s">
        <v>29</v>
      </c>
      <c r="O8" s="3" t="s">
        <v>85</v>
      </c>
      <c r="P8" s="5">
        <v>46387.0</v>
      </c>
      <c r="Q8" s="3">
        <v>2.0</v>
      </c>
      <c r="R8" s="3">
        <v>4.0</v>
      </c>
      <c r="S8" s="4">
        <f t="shared" si="3"/>
        <v>8</v>
      </c>
      <c r="T8" s="4" t="str">
        <f t="shared" si="4"/>
        <v>Moderate</v>
      </c>
      <c r="U8" s="4"/>
      <c r="V8" s="4"/>
      <c r="W8" s="4"/>
      <c r="X8" s="4"/>
      <c r="Y8" s="4"/>
      <c r="Z8" s="4"/>
    </row>
    <row r="9">
      <c r="A9" s="3" t="s">
        <v>86</v>
      </c>
      <c r="B9" s="3" t="s">
        <v>87</v>
      </c>
      <c r="C9" s="3" t="s">
        <v>88</v>
      </c>
      <c r="D9" s="3" t="s">
        <v>89</v>
      </c>
      <c r="E9" s="3" t="s">
        <v>90</v>
      </c>
      <c r="F9" s="3" t="s">
        <v>91</v>
      </c>
      <c r="G9" s="3" t="s">
        <v>92</v>
      </c>
      <c r="H9" s="3" t="s">
        <v>93</v>
      </c>
      <c r="I9" s="3">
        <v>3.0</v>
      </c>
      <c r="J9" s="3">
        <v>5.0</v>
      </c>
      <c r="K9" s="4">
        <f t="shared" si="1"/>
        <v>15</v>
      </c>
      <c r="L9" s="4" t="str">
        <f t="shared" si="2"/>
        <v>High</v>
      </c>
      <c r="M9" s="3" t="s">
        <v>94</v>
      </c>
      <c r="N9" s="3" t="s">
        <v>29</v>
      </c>
      <c r="O9" s="3" t="s">
        <v>95</v>
      </c>
      <c r="P9" s="5">
        <v>46387.0</v>
      </c>
      <c r="Q9" s="3">
        <v>2.0</v>
      </c>
      <c r="R9" s="3">
        <v>5.0</v>
      </c>
      <c r="S9" s="4">
        <f t="shared" si="3"/>
        <v>10</v>
      </c>
      <c r="T9" s="4" t="str">
        <f t="shared" si="4"/>
        <v>High</v>
      </c>
      <c r="U9" s="4"/>
      <c r="V9" s="4"/>
      <c r="W9" s="4"/>
      <c r="X9" s="4"/>
      <c r="Y9" s="4"/>
      <c r="Z9" s="4"/>
    </row>
    <row r="10">
      <c r="A10" s="3" t="s">
        <v>96</v>
      </c>
      <c r="B10" s="3" t="s">
        <v>97</v>
      </c>
      <c r="C10" s="3" t="s">
        <v>98</v>
      </c>
      <c r="D10" s="3" t="s">
        <v>99</v>
      </c>
      <c r="E10" s="3" t="s">
        <v>100</v>
      </c>
      <c r="F10" s="3" t="s">
        <v>101</v>
      </c>
      <c r="G10" s="3" t="s">
        <v>102</v>
      </c>
      <c r="H10" s="3" t="s">
        <v>103</v>
      </c>
      <c r="I10" s="3">
        <v>4.0</v>
      </c>
      <c r="J10" s="3">
        <v>4.0</v>
      </c>
      <c r="K10" s="4">
        <f t="shared" si="1"/>
        <v>16</v>
      </c>
      <c r="L10" s="4" t="str">
        <f t="shared" si="2"/>
        <v>High</v>
      </c>
      <c r="M10" s="3" t="s">
        <v>94</v>
      </c>
      <c r="N10" s="3" t="s">
        <v>29</v>
      </c>
      <c r="O10" s="3" t="s">
        <v>104</v>
      </c>
      <c r="P10" s="5">
        <v>46387.0</v>
      </c>
      <c r="Q10" s="3">
        <v>2.0</v>
      </c>
      <c r="R10" s="3">
        <v>4.0</v>
      </c>
      <c r="S10" s="4">
        <f t="shared" si="3"/>
        <v>8</v>
      </c>
      <c r="T10" s="4" t="str">
        <f t="shared" si="4"/>
        <v>Moderate</v>
      </c>
      <c r="U10" s="4"/>
      <c r="V10" s="4"/>
      <c r="W10" s="4"/>
      <c r="X10" s="4"/>
      <c r="Y10" s="4"/>
      <c r="Z10" s="4"/>
    </row>
    <row r="11">
      <c r="A11" s="3" t="s">
        <v>105</v>
      </c>
      <c r="B11" s="3" t="s">
        <v>106</v>
      </c>
      <c r="C11" s="3" t="s">
        <v>107</v>
      </c>
      <c r="D11" s="3" t="s">
        <v>108</v>
      </c>
      <c r="E11" s="3" t="s">
        <v>109</v>
      </c>
      <c r="F11" s="3" t="s">
        <v>110</v>
      </c>
      <c r="G11" s="3" t="s">
        <v>111</v>
      </c>
      <c r="H11" s="3" t="s">
        <v>112</v>
      </c>
      <c r="I11" s="3">
        <v>3.0</v>
      </c>
      <c r="J11" s="3">
        <v>4.0</v>
      </c>
      <c r="K11" s="3">
        <v>12.0</v>
      </c>
      <c r="L11" s="4" t="str">
        <f t="shared" si="2"/>
        <v>High</v>
      </c>
      <c r="M11" s="3" t="s">
        <v>46</v>
      </c>
      <c r="N11" s="3" t="s">
        <v>29</v>
      </c>
      <c r="O11" s="3" t="s">
        <v>113</v>
      </c>
      <c r="P11" s="5">
        <v>46387.0</v>
      </c>
      <c r="Q11" s="3">
        <v>2.0</v>
      </c>
      <c r="R11" s="3">
        <v>4.0</v>
      </c>
      <c r="S11" s="4">
        <f t="shared" si="3"/>
        <v>8</v>
      </c>
      <c r="T11" s="4" t="str">
        <f t="shared" si="4"/>
        <v>Moderate</v>
      </c>
      <c r="U11" s="4"/>
      <c r="V11" s="4"/>
      <c r="W11" s="4"/>
      <c r="X11" s="4"/>
      <c r="Y11" s="4"/>
      <c r="Z11" s="4"/>
    </row>
    <row r="12">
      <c r="A12" s="3" t="s">
        <v>114</v>
      </c>
      <c r="B12" s="3" t="s">
        <v>115</v>
      </c>
      <c r="C12" s="3" t="s">
        <v>116</v>
      </c>
      <c r="D12" s="3" t="s">
        <v>117</v>
      </c>
      <c r="E12" s="3" t="s">
        <v>118</v>
      </c>
      <c r="F12" s="3" t="s">
        <v>119</v>
      </c>
      <c r="G12" s="3" t="s">
        <v>120</v>
      </c>
      <c r="H12" s="3" t="s">
        <v>121</v>
      </c>
      <c r="I12" s="3">
        <v>3.0</v>
      </c>
      <c r="J12" s="3">
        <v>5.0</v>
      </c>
      <c r="K12" s="4">
        <f t="shared" ref="K12:K16" si="5">IF(OR(I12="",J12=""),"",I12*J12)</f>
        <v>15</v>
      </c>
      <c r="L12" s="4" t="str">
        <f t="shared" si="2"/>
        <v>High</v>
      </c>
      <c r="M12" s="3" t="s">
        <v>46</v>
      </c>
      <c r="N12" s="3" t="s">
        <v>29</v>
      </c>
      <c r="O12" s="3" t="s">
        <v>122</v>
      </c>
      <c r="P12" s="5">
        <v>46387.0</v>
      </c>
      <c r="Q12" s="3">
        <v>2.0</v>
      </c>
      <c r="R12" s="3">
        <v>5.0</v>
      </c>
      <c r="S12" s="4">
        <f t="shared" si="3"/>
        <v>10</v>
      </c>
      <c r="T12" s="4" t="str">
        <f t="shared" si="4"/>
        <v>High</v>
      </c>
      <c r="U12" s="4"/>
      <c r="V12" s="4"/>
      <c r="W12" s="4"/>
      <c r="X12" s="4"/>
      <c r="Y12" s="4"/>
      <c r="Z12" s="4"/>
    </row>
    <row r="13">
      <c r="A13" s="3" t="s">
        <v>123</v>
      </c>
      <c r="B13" s="3" t="s">
        <v>124</v>
      </c>
      <c r="C13" s="3" t="s">
        <v>125</v>
      </c>
      <c r="D13" s="3" t="s">
        <v>126</v>
      </c>
      <c r="E13" s="3" t="s">
        <v>127</v>
      </c>
      <c r="F13" s="3" t="s">
        <v>128</v>
      </c>
      <c r="G13" s="3" t="s">
        <v>129</v>
      </c>
      <c r="H13" s="3" t="s">
        <v>130</v>
      </c>
      <c r="I13" s="3">
        <v>4.0</v>
      </c>
      <c r="J13" s="3">
        <v>5.0</v>
      </c>
      <c r="K13" s="4">
        <f t="shared" si="5"/>
        <v>20</v>
      </c>
      <c r="L13" s="4" t="str">
        <f t="shared" si="2"/>
        <v>Critical</v>
      </c>
      <c r="M13" s="3" t="s">
        <v>28</v>
      </c>
      <c r="N13" s="3" t="s">
        <v>29</v>
      </c>
      <c r="O13" s="3" t="s">
        <v>131</v>
      </c>
      <c r="P13" s="5">
        <v>46387.0</v>
      </c>
      <c r="Q13" s="3">
        <v>2.0</v>
      </c>
      <c r="R13" s="3">
        <v>5.0</v>
      </c>
      <c r="S13" s="4">
        <f t="shared" si="3"/>
        <v>10</v>
      </c>
      <c r="T13" s="4" t="str">
        <f t="shared" si="4"/>
        <v>High</v>
      </c>
      <c r="U13" s="4"/>
      <c r="V13" s="4"/>
      <c r="W13" s="4"/>
      <c r="X13" s="4"/>
      <c r="Y13" s="4"/>
      <c r="Z13" s="4"/>
    </row>
    <row r="14">
      <c r="A14" s="3" t="s">
        <v>132</v>
      </c>
      <c r="B14" s="3" t="s">
        <v>133</v>
      </c>
      <c r="C14" s="3" t="s">
        <v>134</v>
      </c>
      <c r="D14" s="3" t="s">
        <v>135</v>
      </c>
      <c r="E14" s="3" t="s">
        <v>136</v>
      </c>
      <c r="F14" s="3" t="s">
        <v>137</v>
      </c>
      <c r="G14" s="3" t="s">
        <v>138</v>
      </c>
      <c r="H14" s="3" t="s">
        <v>139</v>
      </c>
      <c r="I14" s="3">
        <v>3.0</v>
      </c>
      <c r="J14" s="3">
        <v>5.0</v>
      </c>
      <c r="K14" s="4">
        <f t="shared" si="5"/>
        <v>15</v>
      </c>
      <c r="L14" s="4" t="str">
        <f t="shared" si="2"/>
        <v>High</v>
      </c>
      <c r="M14" s="3" t="s">
        <v>28</v>
      </c>
      <c r="N14" s="3" t="s">
        <v>29</v>
      </c>
      <c r="O14" s="3" t="s">
        <v>140</v>
      </c>
      <c r="P14" s="5">
        <v>46387.0</v>
      </c>
      <c r="Q14" s="3">
        <v>2.0</v>
      </c>
      <c r="R14" s="3">
        <v>5.0</v>
      </c>
      <c r="S14" s="4">
        <f t="shared" si="3"/>
        <v>10</v>
      </c>
      <c r="T14" s="4" t="str">
        <f t="shared" si="4"/>
        <v>High</v>
      </c>
      <c r="U14" s="4"/>
      <c r="V14" s="4"/>
      <c r="W14" s="4"/>
      <c r="X14" s="4"/>
      <c r="Y14" s="4"/>
      <c r="Z14" s="4"/>
    </row>
    <row r="15">
      <c r="A15" s="3" t="s">
        <v>141</v>
      </c>
      <c r="B15" s="3" t="s">
        <v>142</v>
      </c>
      <c r="C15" s="3" t="s">
        <v>143</v>
      </c>
      <c r="D15" s="3" t="s">
        <v>144</v>
      </c>
      <c r="E15" s="3" t="s">
        <v>145</v>
      </c>
      <c r="F15" s="3" t="s">
        <v>146</v>
      </c>
      <c r="G15" s="3" t="s">
        <v>147</v>
      </c>
      <c r="H15" s="3" t="s">
        <v>148</v>
      </c>
      <c r="I15" s="3">
        <v>4.0</v>
      </c>
      <c r="J15" s="3">
        <v>4.0</v>
      </c>
      <c r="K15" s="4">
        <f t="shared" si="5"/>
        <v>16</v>
      </c>
      <c r="L15" s="4" t="str">
        <f t="shared" si="2"/>
        <v>High</v>
      </c>
      <c r="M15" s="3" t="s">
        <v>28</v>
      </c>
      <c r="N15" s="3" t="s">
        <v>29</v>
      </c>
      <c r="O15" s="3" t="s">
        <v>149</v>
      </c>
      <c r="P15" s="5">
        <v>46387.0</v>
      </c>
      <c r="Q15" s="3">
        <v>2.0</v>
      </c>
      <c r="R15" s="3">
        <v>4.0</v>
      </c>
      <c r="S15" s="4">
        <f t="shared" si="3"/>
        <v>8</v>
      </c>
      <c r="T15" s="4" t="str">
        <f t="shared" si="4"/>
        <v>Moderate</v>
      </c>
      <c r="U15" s="4"/>
      <c r="V15" s="4"/>
      <c r="W15" s="4"/>
      <c r="X15" s="4"/>
      <c r="Y15" s="4"/>
      <c r="Z15" s="4"/>
    </row>
    <row r="16">
      <c r="A16" s="3" t="s">
        <v>150</v>
      </c>
      <c r="B16" s="3" t="s">
        <v>151</v>
      </c>
      <c r="C16" s="3" t="s">
        <v>152</v>
      </c>
      <c r="D16" s="3" t="s">
        <v>153</v>
      </c>
      <c r="E16" s="3" t="s">
        <v>154</v>
      </c>
      <c r="F16" s="3" t="s">
        <v>155</v>
      </c>
      <c r="G16" s="3" t="s">
        <v>156</v>
      </c>
      <c r="H16" s="3" t="s">
        <v>157</v>
      </c>
      <c r="I16" s="3">
        <v>3.0</v>
      </c>
      <c r="J16" s="3">
        <v>4.0</v>
      </c>
      <c r="K16" s="4">
        <f t="shared" si="5"/>
        <v>12</v>
      </c>
      <c r="L16" s="4" t="str">
        <f t="shared" si="2"/>
        <v>High</v>
      </c>
      <c r="M16" s="3" t="s">
        <v>158</v>
      </c>
      <c r="N16" s="3" t="s">
        <v>29</v>
      </c>
      <c r="O16" s="3" t="s">
        <v>159</v>
      </c>
      <c r="P16" s="5">
        <v>46387.0</v>
      </c>
      <c r="Q16" s="3">
        <v>2.0</v>
      </c>
      <c r="R16" s="3">
        <v>4.0</v>
      </c>
      <c r="S16" s="4">
        <f t="shared" si="3"/>
        <v>8</v>
      </c>
      <c r="T16" s="4" t="str">
        <f t="shared" si="4"/>
        <v>Moderate</v>
      </c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1:$Z$1"/>
  <drawing r:id="rId1"/>
</worksheet>
</file>