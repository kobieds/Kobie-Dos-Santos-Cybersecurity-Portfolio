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bie\Downloads\"/>
    </mc:Choice>
  </mc:AlternateContent>
  <xr:revisionPtr revIDLastSave="0" documentId="13_ncr:1_{A40C35D3-7D34-4DEC-99B6-AF1B6D25C2CF}" xr6:coauthVersionLast="47" xr6:coauthVersionMax="47" xr10:uidLastSave="{00000000-0000-0000-0000-000000000000}"/>
  <bookViews>
    <workbookView xWindow="-96" yWindow="0" windowWidth="14016" windowHeight="12336" firstSheet="1" activeTab="2" xr2:uid="{00000000-000D-0000-FFFF-FFFF00000000}"/>
  </bookViews>
  <sheets>
    <sheet name="Risk Register" sheetId="1" r:id="rId1"/>
    <sheet name="Risk Treatment Plan" sheetId="2" r:id="rId2"/>
    <sheet name="Residual Risk Assessment" sheetId="3" r:id="rId3"/>
  </sheets>
  <definedNames>
    <definedName name="_xlnm._FilterDatabase" localSheetId="2" hidden="1">'Residual Risk Assessment'!$A$1:$K$21</definedName>
    <definedName name="_xlnm._FilterDatabase" localSheetId="0" hidden="1">'Risk Register'!$A$1:$U$21</definedName>
    <definedName name="_xlnm._FilterDatabase" localSheetId="1" hidden="1">'Risk Treatment Plan'!$A$1:$I$21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3" l="1"/>
  <c r="J21" i="3"/>
  <c r="G21" i="3"/>
  <c r="E21" i="3"/>
  <c r="D21" i="3"/>
  <c r="B21" i="3"/>
  <c r="A21" i="3"/>
  <c r="K20" i="3"/>
  <c r="J20" i="3"/>
  <c r="E20" i="3"/>
  <c r="D20" i="3"/>
  <c r="B20" i="3"/>
  <c r="A20" i="3"/>
  <c r="K19" i="3"/>
  <c r="J19" i="3"/>
  <c r="E19" i="3"/>
  <c r="D19" i="3"/>
  <c r="B19" i="3"/>
  <c r="A19" i="3"/>
  <c r="K18" i="3"/>
  <c r="J18" i="3"/>
  <c r="E18" i="3"/>
  <c r="D18" i="3"/>
  <c r="B18" i="3"/>
  <c r="A18" i="3"/>
  <c r="K17" i="3"/>
  <c r="J17" i="3"/>
  <c r="E17" i="3"/>
  <c r="D17" i="3"/>
  <c r="B17" i="3"/>
  <c r="A17" i="3"/>
  <c r="K16" i="3"/>
  <c r="J16" i="3"/>
  <c r="E16" i="3"/>
  <c r="D16" i="3"/>
  <c r="B16" i="3"/>
  <c r="A16" i="3"/>
  <c r="K15" i="3"/>
  <c r="J15" i="3"/>
  <c r="E15" i="3"/>
  <c r="D15" i="3"/>
  <c r="B15" i="3"/>
  <c r="A15" i="3"/>
  <c r="K14" i="3"/>
  <c r="J14" i="3"/>
  <c r="E14" i="3"/>
  <c r="D14" i="3"/>
  <c r="B14" i="3"/>
  <c r="A14" i="3"/>
  <c r="K13" i="3"/>
  <c r="J13" i="3"/>
  <c r="E13" i="3"/>
  <c r="D13" i="3"/>
  <c r="B13" i="3"/>
  <c r="A13" i="3"/>
  <c r="K12" i="3"/>
  <c r="J12" i="3"/>
  <c r="E12" i="3"/>
  <c r="D12" i="3"/>
  <c r="B12" i="3"/>
  <c r="A12" i="3"/>
  <c r="K11" i="3"/>
  <c r="J11" i="3"/>
  <c r="E11" i="3"/>
  <c r="D11" i="3"/>
  <c r="B11" i="3"/>
  <c r="A11" i="3"/>
  <c r="K10" i="3"/>
  <c r="J10" i="3"/>
  <c r="E10" i="3"/>
  <c r="D10" i="3"/>
  <c r="B10" i="3"/>
  <c r="A10" i="3"/>
  <c r="K9" i="3"/>
  <c r="J9" i="3"/>
  <c r="E9" i="3"/>
  <c r="D9" i="3"/>
  <c r="B9" i="3"/>
  <c r="A9" i="3"/>
  <c r="K8" i="3"/>
  <c r="J8" i="3"/>
  <c r="E8" i="3"/>
  <c r="D8" i="3"/>
  <c r="B8" i="3"/>
  <c r="A8" i="3"/>
  <c r="K7" i="3"/>
  <c r="J7" i="3"/>
  <c r="E7" i="3"/>
  <c r="D7" i="3"/>
  <c r="B7" i="3"/>
  <c r="A7" i="3"/>
  <c r="K6" i="3"/>
  <c r="J6" i="3"/>
  <c r="E6" i="3"/>
  <c r="D6" i="3"/>
  <c r="B6" i="3"/>
  <c r="A6" i="3"/>
  <c r="K5" i="3"/>
  <c r="J5" i="3"/>
  <c r="E5" i="3"/>
  <c r="D5" i="3"/>
  <c r="B5" i="3"/>
  <c r="A5" i="3"/>
  <c r="K4" i="3"/>
  <c r="J4" i="3"/>
  <c r="E4" i="3"/>
  <c r="D4" i="3"/>
  <c r="B4" i="3"/>
  <c r="A4" i="3"/>
  <c r="K3" i="3"/>
  <c r="J3" i="3"/>
  <c r="E3" i="3"/>
  <c r="D3" i="3"/>
  <c r="B3" i="3"/>
  <c r="A3" i="3"/>
  <c r="K2" i="3"/>
  <c r="J2" i="3"/>
  <c r="G2" i="3"/>
  <c r="E2" i="3"/>
  <c r="D2" i="3"/>
  <c r="B2" i="3"/>
  <c r="A2" i="3"/>
  <c r="H21" i="2"/>
  <c r="G21" i="2"/>
  <c r="F21" i="2"/>
  <c r="E21" i="2"/>
  <c r="D21" i="2"/>
  <c r="B21" i="2"/>
  <c r="A21" i="2"/>
  <c r="H20" i="2"/>
  <c r="G20" i="2"/>
  <c r="F20" i="2"/>
  <c r="E20" i="2"/>
  <c r="D20" i="2"/>
  <c r="B20" i="2"/>
  <c r="A20" i="2"/>
  <c r="H19" i="2"/>
  <c r="G19" i="2"/>
  <c r="F19" i="2"/>
  <c r="E19" i="2"/>
  <c r="D19" i="2"/>
  <c r="B19" i="2"/>
  <c r="A19" i="2"/>
  <c r="H18" i="2"/>
  <c r="G18" i="2"/>
  <c r="F18" i="2"/>
  <c r="E18" i="2"/>
  <c r="D18" i="2"/>
  <c r="B18" i="2"/>
  <c r="A18" i="2"/>
  <c r="H17" i="2"/>
  <c r="G17" i="2"/>
  <c r="F17" i="2"/>
  <c r="E17" i="2"/>
  <c r="D17" i="2"/>
  <c r="B17" i="2"/>
  <c r="A17" i="2"/>
  <c r="H16" i="2"/>
  <c r="G16" i="2"/>
  <c r="F16" i="2"/>
  <c r="E16" i="2"/>
  <c r="D16" i="2"/>
  <c r="B16" i="2"/>
  <c r="A16" i="2"/>
  <c r="H15" i="2"/>
  <c r="G15" i="2"/>
  <c r="F15" i="2"/>
  <c r="E15" i="2"/>
  <c r="D15" i="2"/>
  <c r="B15" i="2"/>
  <c r="A15" i="2"/>
  <c r="H14" i="2"/>
  <c r="G14" i="2"/>
  <c r="F14" i="2"/>
  <c r="E14" i="2"/>
  <c r="D14" i="2"/>
  <c r="B14" i="2"/>
  <c r="A14" i="2"/>
  <c r="H13" i="2"/>
  <c r="G13" i="2"/>
  <c r="F13" i="2"/>
  <c r="E13" i="2"/>
  <c r="D13" i="2"/>
  <c r="B13" i="2"/>
  <c r="A13" i="2"/>
  <c r="H12" i="2"/>
  <c r="G12" i="2"/>
  <c r="F12" i="2"/>
  <c r="E12" i="2"/>
  <c r="D12" i="2"/>
  <c r="B12" i="2"/>
  <c r="A12" i="2"/>
  <c r="H11" i="2"/>
  <c r="G11" i="2"/>
  <c r="F11" i="2"/>
  <c r="E11" i="2"/>
  <c r="D11" i="2"/>
  <c r="B11" i="2"/>
  <c r="A11" i="2"/>
  <c r="H10" i="2"/>
  <c r="G10" i="2"/>
  <c r="F10" i="2"/>
  <c r="E10" i="2"/>
  <c r="D10" i="2"/>
  <c r="B10" i="2"/>
  <c r="A10" i="2"/>
  <c r="H9" i="2"/>
  <c r="G9" i="2"/>
  <c r="F9" i="2"/>
  <c r="E9" i="2"/>
  <c r="D9" i="2"/>
  <c r="B9" i="2"/>
  <c r="A9" i="2"/>
  <c r="H8" i="2"/>
  <c r="G8" i="2"/>
  <c r="F8" i="2"/>
  <c r="E8" i="2"/>
  <c r="D8" i="2"/>
  <c r="B8" i="2"/>
  <c r="A8" i="2"/>
  <c r="H7" i="2"/>
  <c r="G7" i="2"/>
  <c r="F7" i="2"/>
  <c r="E7" i="2"/>
  <c r="D7" i="2"/>
  <c r="B7" i="2"/>
  <c r="A7" i="2"/>
  <c r="H6" i="2"/>
  <c r="G6" i="2"/>
  <c r="F6" i="2"/>
  <c r="E6" i="2"/>
  <c r="D6" i="2"/>
  <c r="B6" i="2"/>
  <c r="A6" i="2"/>
  <c r="H5" i="2"/>
  <c r="G5" i="2"/>
  <c r="F5" i="2"/>
  <c r="E5" i="2"/>
  <c r="D5" i="2"/>
  <c r="B5" i="2"/>
  <c r="A5" i="2"/>
  <c r="H4" i="2"/>
  <c r="G4" i="2"/>
  <c r="F4" i="2"/>
  <c r="E4" i="2"/>
  <c r="D4" i="2"/>
  <c r="B4" i="2"/>
  <c r="A4" i="2"/>
  <c r="H3" i="2"/>
  <c r="G3" i="2"/>
  <c r="F3" i="2"/>
  <c r="E3" i="2"/>
  <c r="D3" i="2"/>
  <c r="B3" i="2"/>
  <c r="A3" i="2"/>
  <c r="H2" i="2"/>
  <c r="G2" i="2"/>
  <c r="F2" i="2"/>
  <c r="E2" i="2"/>
  <c r="D2" i="2"/>
  <c r="B2" i="2"/>
  <c r="A2" i="2"/>
  <c r="R21" i="1"/>
  <c r="Q21" i="1"/>
  <c r="F21" i="3" s="1"/>
  <c r="O21" i="1"/>
  <c r="P21" i="1" s="1"/>
  <c r="R20" i="1"/>
  <c r="G20" i="3" s="1"/>
  <c r="Q20" i="1"/>
  <c r="F20" i="3" s="1"/>
  <c r="P20" i="1"/>
  <c r="C20" i="2" s="1"/>
  <c r="O20" i="1"/>
  <c r="R19" i="1"/>
  <c r="S19" i="1" s="1"/>
  <c r="Q19" i="1"/>
  <c r="F19" i="3" s="1"/>
  <c r="P19" i="1"/>
  <c r="C19" i="2" s="1"/>
  <c r="O19" i="1"/>
  <c r="T18" i="1"/>
  <c r="I18" i="3" s="1"/>
  <c r="S18" i="1"/>
  <c r="H18" i="3" s="1"/>
  <c r="R18" i="1"/>
  <c r="G18" i="3" s="1"/>
  <c r="Q18" i="1"/>
  <c r="F18" i="3" s="1"/>
  <c r="P18" i="1"/>
  <c r="C18" i="3" s="1"/>
  <c r="O18" i="1"/>
  <c r="R17" i="1"/>
  <c r="G17" i="3" s="1"/>
  <c r="Q17" i="1"/>
  <c r="F17" i="3" s="1"/>
  <c r="O17" i="1"/>
  <c r="P17" i="1" s="1"/>
  <c r="R16" i="1"/>
  <c r="G16" i="3" s="1"/>
  <c r="Q16" i="1"/>
  <c r="S16" i="1" s="1"/>
  <c r="P16" i="1"/>
  <c r="C16" i="2" s="1"/>
  <c r="O16" i="1"/>
  <c r="R15" i="1"/>
  <c r="S15" i="1" s="1"/>
  <c r="Q15" i="1"/>
  <c r="F15" i="3" s="1"/>
  <c r="P15" i="1"/>
  <c r="C15" i="2" s="1"/>
  <c r="O15" i="1"/>
  <c r="T14" i="1"/>
  <c r="I14" i="3" s="1"/>
  <c r="S14" i="1"/>
  <c r="H14" i="3" s="1"/>
  <c r="R14" i="1"/>
  <c r="G14" i="3" s="1"/>
  <c r="Q14" i="1"/>
  <c r="F14" i="3" s="1"/>
  <c r="P14" i="1"/>
  <c r="C14" i="2" s="1"/>
  <c r="O14" i="1"/>
  <c r="R13" i="1"/>
  <c r="G13" i="3" s="1"/>
  <c r="Q13" i="1"/>
  <c r="F13" i="3" s="1"/>
  <c r="O13" i="1"/>
  <c r="P13" i="1" s="1"/>
  <c r="R12" i="1"/>
  <c r="G12" i="3" s="1"/>
  <c r="Q12" i="1"/>
  <c r="F12" i="3" s="1"/>
  <c r="P12" i="1"/>
  <c r="C12" i="2" s="1"/>
  <c r="O12" i="1"/>
  <c r="R11" i="1"/>
  <c r="S11" i="1" s="1"/>
  <c r="Q11" i="1"/>
  <c r="F11" i="3" s="1"/>
  <c r="P11" i="1"/>
  <c r="C11" i="2" s="1"/>
  <c r="O11" i="1"/>
  <c r="T10" i="1"/>
  <c r="I10" i="3" s="1"/>
  <c r="S10" i="1"/>
  <c r="H10" i="3" s="1"/>
  <c r="R10" i="1"/>
  <c r="G10" i="3" s="1"/>
  <c r="Q10" i="1"/>
  <c r="F10" i="3" s="1"/>
  <c r="P10" i="1"/>
  <c r="C10" i="3" s="1"/>
  <c r="O10" i="1"/>
  <c r="R9" i="1"/>
  <c r="G9" i="3" s="1"/>
  <c r="Q9" i="1"/>
  <c r="F9" i="3" s="1"/>
  <c r="O9" i="1"/>
  <c r="P9" i="1" s="1"/>
  <c r="R8" i="1"/>
  <c r="G8" i="3" s="1"/>
  <c r="Q8" i="1"/>
  <c r="S8" i="1" s="1"/>
  <c r="P8" i="1"/>
  <c r="C8" i="2" s="1"/>
  <c r="O8" i="1"/>
  <c r="R7" i="1"/>
  <c r="S7" i="1" s="1"/>
  <c r="Q7" i="1"/>
  <c r="F7" i="3" s="1"/>
  <c r="P7" i="1"/>
  <c r="C7" i="2" s="1"/>
  <c r="O7" i="1"/>
  <c r="T6" i="1"/>
  <c r="I6" i="3" s="1"/>
  <c r="S6" i="1"/>
  <c r="H6" i="3" s="1"/>
  <c r="R6" i="1"/>
  <c r="G6" i="3" s="1"/>
  <c r="Q6" i="1"/>
  <c r="F6" i="3" s="1"/>
  <c r="P6" i="1"/>
  <c r="C6" i="2" s="1"/>
  <c r="O6" i="1"/>
  <c r="R5" i="1"/>
  <c r="G5" i="3" s="1"/>
  <c r="Q5" i="1"/>
  <c r="F5" i="3" s="1"/>
  <c r="O5" i="1"/>
  <c r="P5" i="1" s="1"/>
  <c r="R4" i="1"/>
  <c r="G4" i="3" s="1"/>
  <c r="Q4" i="1"/>
  <c r="F4" i="3" s="1"/>
  <c r="P4" i="1"/>
  <c r="C4" i="2" s="1"/>
  <c r="O4" i="1"/>
  <c r="R3" i="1"/>
  <c r="S3" i="1" s="1"/>
  <c r="Q3" i="1"/>
  <c r="F3" i="3" s="1"/>
  <c r="P3" i="1"/>
  <c r="C3" i="2" s="1"/>
  <c r="O3" i="1"/>
  <c r="T2" i="1"/>
  <c r="I2" i="3" s="1"/>
  <c r="S2" i="1"/>
  <c r="H2" i="3" s="1"/>
  <c r="R2" i="1"/>
  <c r="Q2" i="1"/>
  <c r="F2" i="3" s="1"/>
  <c r="P2" i="1"/>
  <c r="C2" i="2" s="1"/>
  <c r="O2" i="1"/>
  <c r="T11" i="1" l="1"/>
  <c r="I11" i="3" s="1"/>
  <c r="H11" i="3"/>
  <c r="T15" i="1"/>
  <c r="I15" i="3" s="1"/>
  <c r="H15" i="3"/>
  <c r="T19" i="1"/>
  <c r="I19" i="3" s="1"/>
  <c r="H19" i="3"/>
  <c r="C9" i="2"/>
  <c r="C9" i="3"/>
  <c r="T16" i="1"/>
  <c r="I16" i="3" s="1"/>
  <c r="H16" i="3"/>
  <c r="C5" i="3"/>
  <c r="C5" i="2"/>
  <c r="C13" i="3"/>
  <c r="C13" i="2"/>
  <c r="T3" i="1"/>
  <c r="I3" i="3" s="1"/>
  <c r="H3" i="3"/>
  <c r="C17" i="2"/>
  <c r="C17" i="3"/>
  <c r="H8" i="3"/>
  <c r="T8" i="1"/>
  <c r="I8" i="3" s="1"/>
  <c r="T7" i="1"/>
  <c r="I7" i="3" s="1"/>
  <c r="H7" i="3"/>
  <c r="C21" i="3"/>
  <c r="C21" i="2"/>
  <c r="C8" i="3"/>
  <c r="C16" i="3"/>
  <c r="C3" i="3"/>
  <c r="G7" i="3"/>
  <c r="C11" i="3"/>
  <c r="G15" i="3"/>
  <c r="C19" i="3"/>
  <c r="S5" i="1"/>
  <c r="S9" i="1"/>
  <c r="S13" i="1"/>
  <c r="S17" i="1"/>
  <c r="S21" i="1"/>
  <c r="C6" i="3"/>
  <c r="C14" i="3"/>
  <c r="F8" i="3"/>
  <c r="F16" i="3"/>
  <c r="S4" i="1"/>
  <c r="S12" i="1"/>
  <c r="S20" i="1"/>
  <c r="C4" i="3"/>
  <c r="C12" i="3"/>
  <c r="C20" i="3"/>
  <c r="G3" i="3"/>
  <c r="C7" i="3"/>
  <c r="G11" i="3"/>
  <c r="C15" i="3"/>
  <c r="G19" i="3"/>
  <c r="C10" i="2"/>
  <c r="C18" i="2"/>
  <c r="C2" i="3"/>
  <c r="T5" i="1" l="1"/>
  <c r="I5" i="3" s="1"/>
  <c r="H5" i="3"/>
  <c r="H21" i="3"/>
  <c r="T21" i="1"/>
  <c r="I21" i="3" s="1"/>
  <c r="T20" i="1"/>
  <c r="I20" i="3" s="1"/>
  <c r="H20" i="3"/>
  <c r="T17" i="1"/>
  <c r="I17" i="3" s="1"/>
  <c r="H17" i="3"/>
  <c r="H12" i="3"/>
  <c r="T12" i="1"/>
  <c r="I12" i="3" s="1"/>
  <c r="T13" i="1"/>
  <c r="I13" i="3" s="1"/>
  <c r="H13" i="3"/>
  <c r="T4" i="1"/>
  <c r="I4" i="3" s="1"/>
  <c r="H4" i="3"/>
  <c r="H9" i="3"/>
  <c r="T9" i="1"/>
  <c r="I9" i="3" s="1"/>
</calcChain>
</file>

<file path=xl/sharedStrings.xml><?xml version="1.0" encoding="utf-8"?>
<sst xmlns="http://schemas.openxmlformats.org/spreadsheetml/2006/main" count="301" uniqueCount="231">
  <si>
    <t>Risk ID</t>
  </si>
  <si>
    <t>Asset ID</t>
  </si>
  <si>
    <t>Asset Name</t>
  </si>
  <si>
    <t>Risk Title</t>
  </si>
  <si>
    <t>Threat</t>
  </si>
  <si>
    <t>Vulnerability / Weakness</t>
  </si>
  <si>
    <t>Risk Scenario</t>
  </si>
  <si>
    <t>Existing Controls</t>
  </si>
  <si>
    <t>Likelihood</t>
  </si>
  <si>
    <t>Impact</t>
  </si>
  <si>
    <t>Treatment</t>
  </si>
  <si>
    <t>Treatment Actions</t>
  </si>
  <si>
    <t>Risk Owner</t>
  </si>
  <si>
    <t>Target Date</t>
  </si>
  <si>
    <t>Inherent Risk Score</t>
  </si>
  <si>
    <t>Inherent Risk Level</t>
  </si>
  <si>
    <t>Residual Likelihood</t>
  </si>
  <si>
    <t>Residual Impact</t>
  </si>
  <si>
    <t>Residual Risk Score</t>
  </si>
  <si>
    <t>Residual Risk Level</t>
  </si>
  <si>
    <t>Status</t>
  </si>
  <si>
    <t>RSK-001</t>
  </si>
  <si>
    <t>AST-001</t>
  </si>
  <si>
    <t>AWS Production Environment</t>
  </si>
  <si>
    <t>Cloud Misconfiguration</t>
  </si>
  <si>
    <t>Threat actor or accidental administrator change</t>
  </si>
  <si>
    <t>Inadequate configuration management or excessive permissions</t>
  </si>
  <si>
    <t>Misconfigured cloud resources could expose services or data and disrupt production operations.</t>
  </si>
  <si>
    <t>IAM least privilege; change management; AWS security monitoring</t>
  </si>
  <si>
    <t>Mitigate</t>
  </si>
  <si>
    <t>Strengthen configuration baselines, periodic reviews, and automated detection of high-risk changes.</t>
  </si>
  <si>
    <t>Cloud/DevOps</t>
  </si>
  <si>
    <t>2027-01-31</t>
  </si>
  <si>
    <t>Open</t>
  </si>
  <si>
    <t>RSK-002</t>
  </si>
  <si>
    <t>AST-002</t>
  </si>
  <si>
    <t>Customer Database</t>
  </si>
  <si>
    <t>Unauthorized Access to Customer Data</t>
  </si>
  <si>
    <t>Compromised account or malicious insider</t>
  </si>
  <si>
    <t>Excessive privileges, credential compromise, or insufficient access review</t>
  </si>
  <si>
    <t>Unauthorized access could expose customer information and create confidentiality, regulatory, and contractual impacts.</t>
  </si>
  <si>
    <t>IAM; MFA; database access controls; logging</t>
  </si>
  <si>
    <t>Implement periodic access recertification, privileged-access controls, and enhanced database monitoring.</t>
  </si>
  <si>
    <t>Data Owner</t>
  </si>
  <si>
    <t>2026-12-15</t>
  </si>
  <si>
    <t>RSK-003</t>
  </si>
  <si>
    <t>AST-003</t>
  </si>
  <si>
    <t>AI/ML Models</t>
  </si>
  <si>
    <t>Unauthorized Model Access or Theft</t>
  </si>
  <si>
    <t>External attacker or insider</t>
  </si>
  <si>
    <t>Insufficient access restrictions or compromised developer credentials</t>
  </si>
  <si>
    <t>Unauthorized access could expose proprietary models and reduce competitive advantage.</t>
  </si>
  <si>
    <t>IAM; repository controls; environment segregation</t>
  </si>
  <si>
    <t>Strengthen model repository permissions, monitoring, and privileged access controls.</t>
  </si>
  <si>
    <t>ML Engineering</t>
  </si>
  <si>
    <t>RSK-004</t>
  </si>
  <si>
    <t>AST-004</t>
  </si>
  <si>
    <t>Application Source Code</t>
  </si>
  <si>
    <t>Source Code Compromise</t>
  </si>
  <si>
    <t>External attacker, compromised account, or insider</t>
  </si>
  <si>
    <t>Weak repository permissions or stolen credentials</t>
  </si>
  <si>
    <t>Unauthorized modification could introduce malicious code or compromise application integrity.</t>
  </si>
  <si>
    <t>Repository access controls; MFA; code review; CI/CD controls</t>
  </si>
  <si>
    <t>Expand branch protection, privileged access review, and security monitoring for repository activity.</t>
  </si>
  <si>
    <t>Engineering</t>
  </si>
  <si>
    <t>2026-12-31</t>
  </si>
  <si>
    <t>RSK-005</t>
  </si>
  <si>
    <t>AST-005</t>
  </si>
  <si>
    <t>API Gateway</t>
  </si>
  <si>
    <t>API Credential Compromise and Abuse</t>
  </si>
  <si>
    <t>External attacker</t>
  </si>
  <si>
    <t>Exposed credentials, weak authentication, or insufficient rate limiting</t>
  </si>
  <si>
    <t>Compromised API access could enable unauthorized transactions, data access, or service disruption.</t>
  </si>
  <si>
    <t>Authentication; API access controls; logging; rate limiting</t>
  </si>
  <si>
    <t>Improve credential lifecycle management, API monitoring, rate limiting, and anomaly detection.</t>
  </si>
  <si>
    <t>RSK-006</t>
  </si>
  <si>
    <t>AST-006</t>
  </si>
  <si>
    <t>CI/CD Pipeline</t>
  </si>
  <si>
    <t>Software Supply-Chain Compromise</t>
  </si>
  <si>
    <t>Compromised dependency, account, or build component</t>
  </si>
  <si>
    <t>Insufficient pipeline isolation, dependency controls, or deployment authorization</t>
  </si>
  <si>
    <t>A compromised build process could introduce malicious code into production.</t>
  </si>
  <si>
    <t>Code review; deployment approvals; repository controls</t>
  </si>
  <si>
    <t>Implement stronger pipeline segregation, dependency verification, and protected deployment approvals.</t>
  </si>
  <si>
    <t>DevOps</t>
  </si>
  <si>
    <t>2027-01-15</t>
  </si>
  <si>
    <t>RSK-007</t>
  </si>
  <si>
    <t>AST-007</t>
  </si>
  <si>
    <t>Source Code Repository</t>
  </si>
  <si>
    <t>Repository Credential Exposure</t>
  </si>
  <si>
    <t>Phishing, credential theft, or secret committed to repository</t>
  </si>
  <si>
    <t>Inadequate secret scanning and credential management</t>
  </si>
  <si>
    <t>Exposed credentials could provide unauthorized access to source code or cloud resources.</t>
  </si>
  <si>
    <t>MFA; repository access controls; developer security practices</t>
  </si>
  <si>
    <t>Implement secret scanning, credential rotation procedures, and developer security training.</t>
  </si>
  <si>
    <t>2026-11-30</t>
  </si>
  <si>
    <t>RSK-008</t>
  </si>
  <si>
    <t>AST-008</t>
  </si>
  <si>
    <t>Identity Provider</t>
  </si>
  <si>
    <t>Identity Account Compromise</t>
  </si>
  <si>
    <t>Phishing, credential stuffing, or session theft</t>
  </si>
  <si>
    <t>Weak authentication or inadequate conditional access</t>
  </si>
  <si>
    <t>Compromised identities could provide access to multiple business and technology systems.</t>
  </si>
  <si>
    <t>MFA; SSO; account lifecycle controls</t>
  </si>
  <si>
    <t>Strengthen phishing-resistant MFA where feasible, conditional access, and privileged identity monitoring.</t>
  </si>
  <si>
    <t>IT/Security</t>
  </si>
  <si>
    <t>RSK-009</t>
  </si>
  <si>
    <t>AST-009</t>
  </si>
  <si>
    <t>AWS IAM Environment</t>
  </si>
  <si>
    <t>Excessive Cloud Privileges</t>
  </si>
  <si>
    <t>Misconfiguration or compromised privileged account</t>
  </si>
  <si>
    <t>Overly broad permissions or insufficient access reviews</t>
  </si>
  <si>
    <t>Excessive privileges could allow attackers or insiders to access or modify critical cloud resources.</t>
  </si>
  <si>
    <t>IAM roles; MFA; logging</t>
  </si>
  <si>
    <t>Perform recurring privilege reviews, reduce standing administrative access, and improve IAM monitoring.</t>
  </si>
  <si>
    <t>RSK-010</t>
  </si>
  <si>
    <t>AST-010</t>
  </si>
  <si>
    <t>Security Logging Platform</t>
  </si>
  <si>
    <t>Insufficient Security Monitoring</t>
  </si>
  <si>
    <t>Security event or attacker activity</t>
  </si>
  <si>
    <t>Incomplete log coverage, retention gaps, or inadequate alerting</t>
  </si>
  <si>
    <t>Important security events may not be detected or investigated in a timely manner.</t>
  </si>
  <si>
    <t>Centralized logging; monitoring; alerting</t>
  </si>
  <si>
    <t>Expand critical log coverage, retention standards, alert tuning, and monitoring ownership.</t>
  </si>
  <si>
    <t>Security Engineering</t>
  </si>
  <si>
    <t>RSK-011</t>
  </si>
  <si>
    <t>AST-011</t>
  </si>
  <si>
    <t>Employee Endpoints</t>
  </si>
  <si>
    <t>Malware Infection</t>
  </si>
  <si>
    <t>Malicious attachment, phishing, or compromised software</t>
  </si>
  <si>
    <t>Endpoint exposure, unsafe downloads, or delayed patching</t>
  </si>
  <si>
    <t>Malware could compromise credentials, disrupt operations, or provide access to corporate systems.</t>
  </si>
  <si>
    <t>Endpoint protection; patching; email security</t>
  </si>
  <si>
    <t>Strengthen endpoint hardening, patch compliance monitoring, and phishing-resistant authentication.</t>
  </si>
  <si>
    <t>IT</t>
  </si>
  <si>
    <t>RSK-012</t>
  </si>
  <si>
    <t>AST-012</t>
  </si>
  <si>
    <t>Corporate SaaS Applications</t>
  </si>
  <si>
    <t>Third-Party SaaS Account Compromise</t>
  </si>
  <si>
    <t>Credential theft or vendor-side compromise</t>
  </si>
  <si>
    <t>Weak account controls or inadequate vendor security assurance</t>
  </si>
  <si>
    <t>Compromise of business SaaS accounts could expose internal information or disrupt operations.</t>
  </si>
  <si>
    <t>SSO; MFA; vendor assessments</t>
  </si>
  <si>
    <t>Standardize SaaS access reviews and third-party security assessments for critical services.</t>
  </si>
  <si>
    <t>RSK-013</t>
  </si>
  <si>
    <t>AST-013</t>
  </si>
  <si>
    <t>Customer-Facing SaaS Application</t>
  </si>
  <si>
    <t>Application Security Vulnerability</t>
  </si>
  <si>
    <t>Software defect, insecure configuration, or insufficient security testing</t>
  </si>
  <si>
    <t>Exploitation could lead to unauthorized access, data exposure, or service disruption.</t>
  </si>
  <si>
    <t>Secure development practices; code review; vulnerability management</t>
  </si>
  <si>
    <t>Expand application security testing, remediation SLAs, and security review gates in development.</t>
  </si>
  <si>
    <t>RSK-014</t>
  </si>
  <si>
    <t>AST-014</t>
  </si>
  <si>
    <t>AI/ML Compute Environment</t>
  </si>
  <si>
    <t>Unauthorized Compute Access</t>
  </si>
  <si>
    <t>Compromised identity or exposed service</t>
  </si>
  <si>
    <t>Insufficient network segmentation or access controls</t>
  </si>
  <si>
    <t>Unauthorized compute access could result in resource abuse, model exposure, or service disruption.</t>
  </si>
  <si>
    <t>IAM; network controls; monitoring</t>
  </si>
  <si>
    <t>Strengthen workload isolation, access reviews, and monitoring of anomalous compute activity.</t>
  </si>
  <si>
    <t>RSK-015</t>
  </si>
  <si>
    <t>AST-015</t>
  </si>
  <si>
    <t>Backup and Recovery Environment</t>
  </si>
  <si>
    <t>Backup or Recovery Failure</t>
  </si>
  <si>
    <t>System failure, ransomware, or operational error</t>
  </si>
  <si>
    <t>Incomplete backup coverage or untested recovery procedures</t>
  </si>
  <si>
    <t>Failure to recover critical systems could extend outages and increase data-loss impact.</t>
  </si>
  <si>
    <t>Backups; recovery procedures; access controls</t>
  </si>
  <si>
    <t>Perform recovery testing, verify backup coverage, and strengthen backup isolation and monitoring.</t>
  </si>
  <si>
    <t>2027-02-15</t>
  </si>
  <si>
    <t>RSK-016</t>
  </si>
  <si>
    <t>AST-016</t>
  </si>
  <si>
    <t>Vulnerability Management Platform</t>
  </si>
  <si>
    <t>Vulnerability Detection or Tracking Gap</t>
  </si>
  <si>
    <t>Unknown vulnerability or tooling failure</t>
  </si>
  <si>
    <t>Incomplete asset coverage, configuration gaps, or delayed remediation</t>
  </si>
  <si>
    <t>Unidentified vulnerabilities may remain exploitable and increase exposure to attack.</t>
  </si>
  <si>
    <t>Vulnerability management process; remediation tracking</t>
  </si>
  <si>
    <t>Improve asset coverage, scan validation, remediation SLAs, and exception tracking.</t>
  </si>
  <si>
    <t>RSK-017</t>
  </si>
  <si>
    <t>AST-017</t>
  </si>
  <si>
    <t>Incident Response Documentation</t>
  </si>
  <si>
    <t>Ineffective Incident Response</t>
  </si>
  <si>
    <t>Security incident or major service event</t>
  </si>
  <si>
    <t>Outdated procedures, unclear roles, or insufficient evidence handling</t>
  </si>
  <si>
    <t>Delayed or inconsistent response could increase operational, legal, and customer impact.</t>
  </si>
  <si>
    <t>Incident response plan; escalation procedures</t>
  </si>
  <si>
    <t>Update IR procedures, clarify roles, establish evidence-handling requirements, and conduct tabletop exercises.</t>
  </si>
  <si>
    <t>Security Lead</t>
  </si>
  <si>
    <t>RSK-018</t>
  </si>
  <si>
    <t>AST-018</t>
  </si>
  <si>
    <t>Third-Party Vendor Services</t>
  </si>
  <si>
    <t>Critical Vendor Security Failure</t>
  </si>
  <si>
    <t>Vendor breach or prolonged service outage</t>
  </si>
  <si>
    <t>Insufficient due diligence, contractual controls, or monitoring</t>
  </si>
  <si>
    <t>A critical supplier incident could expose information or interrupt essential services.</t>
  </si>
  <si>
    <t>Vendor assessments; contractual requirements</t>
  </si>
  <si>
    <t>Tier vendors by risk, strengthen security requirements, and perform recurring assessments of critical suppliers.</t>
  </si>
  <si>
    <t>RSK-019</t>
  </si>
  <si>
    <t>AST-019</t>
  </si>
  <si>
    <t>DNS and Domain Services</t>
  </si>
  <si>
    <t>DNS or Domain Takeover</t>
  </si>
  <si>
    <t>Credential compromise or registrar attack</t>
  </si>
  <si>
    <t>Weak registrar security or insufficient administrative controls</t>
  </si>
  <si>
    <t>Domain manipulation could redirect users, disrupt services, or enable phishing.</t>
  </si>
  <si>
    <t>MFA; administrative access controls; monitoring</t>
  </si>
  <si>
    <t>Strengthen registrar security, privileged access controls, and domain-change monitoring.</t>
  </si>
  <si>
    <t>RSK-020</t>
  </si>
  <si>
    <t>AST-020</t>
  </si>
  <si>
    <t>Security Policies and ISMS Documentation</t>
  </si>
  <si>
    <t>Governance and Documentation Gap</t>
  </si>
  <si>
    <t>Regulatory change, audit requirement, or operational change</t>
  </si>
  <si>
    <t>Policies may become outdated or fail to reflect current risks and controls</t>
  </si>
  <si>
    <t>Outdated governance documentation could lead to inconsistent practices, audit gaps, and ineffective control ownership.</t>
  </si>
  <si>
    <t>Policy review process; document control</t>
  </si>
  <si>
    <t>Establish formal document ownership, approval, review cycles, and linkage between risks, controls, and policies.</t>
  </si>
  <si>
    <t>GRC / Security Lead</t>
  </si>
  <si>
    <t>Risk Level</t>
  </si>
  <si>
    <t>Treatment Strategy</t>
  </si>
  <si>
    <t>Treatment Action</t>
  </si>
  <si>
    <t>Completion Notes</t>
  </si>
  <si>
    <t>Inherent Risk</t>
  </si>
  <si>
    <t>Residual Score</t>
  </si>
  <si>
    <t>In Progress</t>
  </si>
  <si>
    <t>Closed</t>
  </si>
  <si>
    <t>Accepted</t>
  </si>
  <si>
    <t>Accept</t>
  </si>
  <si>
    <t>Transfer</t>
  </si>
  <si>
    <t>IT / Operations Manager</t>
  </si>
  <si>
    <t>Operations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</si>
</sst>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154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>
          <bgColor rgb="FFFF0000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opLeftCell="H1" workbookViewId="0">
      <pane ySplit="1" topLeftCell="A14" activePane="bottomLeft" state="frozen"/>
      <selection pane="bottomLeft" activeCell="M16" sqref="M16"/>
    </sheetView>
  </sheetViews>
  <sheetFormatPr defaultRowHeight="14.4" x14ac:dyDescent="0.3"/>
  <cols>
    <col min="1" max="1" width="11" style="6" bestFit="1" customWidth="1"/>
    <col min="2" max="2" width="12.109375" style="6" bestFit="1" customWidth="1"/>
    <col min="3" max="3" width="25" style="6" customWidth="1"/>
    <col min="4" max="4" width="29.5546875" style="6" bestFit="1" customWidth="1"/>
    <col min="5" max="5" width="27.88671875" style="6" bestFit="1" customWidth="1"/>
    <col min="6" max="6" width="34" style="6" customWidth="1"/>
    <col min="7" max="7" width="41" style="6" bestFit="1" customWidth="1"/>
    <col min="8" max="8" width="33.88671875" style="6" bestFit="1" customWidth="1"/>
    <col min="9" max="9" width="14.109375" style="6" bestFit="1" customWidth="1"/>
    <col min="10" max="10" width="11.33203125" style="6" bestFit="1" customWidth="1"/>
    <col min="11" max="11" width="14.21875" style="6" bestFit="1" customWidth="1"/>
    <col min="12" max="12" width="42" style="6" customWidth="1"/>
    <col min="13" max="13" width="21.6640625" style="6" bestFit="1" customWidth="1"/>
    <col min="14" max="14" width="15.109375" style="6" bestFit="1" customWidth="1"/>
    <col min="15" max="15" width="21.77734375" style="6" bestFit="1" customWidth="1"/>
    <col min="16" max="16" width="21.33203125" style="6" bestFit="1" customWidth="1"/>
    <col min="17" max="17" width="21.77734375" style="6" bestFit="1" customWidth="1"/>
    <col min="18" max="18" width="18.88671875" style="6" bestFit="1" customWidth="1"/>
    <col min="19" max="19" width="21.44140625" style="6" bestFit="1" customWidth="1"/>
    <col min="20" max="20" width="21.109375" style="6" bestFit="1" customWidth="1"/>
    <col min="21" max="21" width="10.6640625" style="6" bestFit="1" customWidth="1"/>
    <col min="22" max="16384" width="8.88671875" style="6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3.2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>
        <v>4</v>
      </c>
      <c r="J2" s="2">
        <v>5</v>
      </c>
      <c r="K2" s="2" t="s">
        <v>29</v>
      </c>
      <c r="L2" s="2" t="s">
        <v>30</v>
      </c>
      <c r="M2" s="2" t="s">
        <v>31</v>
      </c>
      <c r="N2" s="3" t="s">
        <v>32</v>
      </c>
      <c r="O2" s="2">
        <f t="shared" ref="O2:O21" si="0">I2*J2</f>
        <v>20</v>
      </c>
      <c r="P2" s="2" t="str">
        <f t="shared" ref="P2:P21" si="1">IF(O2&lt;=4,"Low",IF(O2&lt;=9,"Moderate",IF(O2&lt;=16,"High","Critical")))</f>
        <v>Critical</v>
      </c>
      <c r="Q2" s="2">
        <f t="shared" ref="Q2:Q21" si="2">I2</f>
        <v>4</v>
      </c>
      <c r="R2" s="2">
        <f t="shared" ref="R2:R21" si="3">J2</f>
        <v>5</v>
      </c>
      <c r="S2" s="2">
        <f t="shared" ref="S2:S21" si="4">Q2*R2</f>
        <v>20</v>
      </c>
      <c r="T2" s="2" t="str">
        <f t="shared" ref="T2:T21" si="5">IF(S2&lt;=4,"Low",IF(S2&lt;=9,"Moderate",IF(S2&lt;=16,"High","Critical")))</f>
        <v>Critical</v>
      </c>
      <c r="U2" s="2" t="s">
        <v>224</v>
      </c>
    </row>
    <row r="3" spans="1:21" ht="43.2" x14ac:dyDescent="0.3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>
        <v>4</v>
      </c>
      <c r="J3" s="2">
        <v>5</v>
      </c>
      <c r="K3" s="2" t="s">
        <v>29</v>
      </c>
      <c r="L3" s="2" t="s">
        <v>42</v>
      </c>
      <c r="M3" s="2" t="s">
        <v>43</v>
      </c>
      <c r="N3" s="3" t="s">
        <v>44</v>
      </c>
      <c r="O3" s="2">
        <f t="shared" si="0"/>
        <v>20</v>
      </c>
      <c r="P3" s="2" t="str">
        <f t="shared" si="1"/>
        <v>Critical</v>
      </c>
      <c r="Q3" s="2">
        <f t="shared" si="2"/>
        <v>4</v>
      </c>
      <c r="R3" s="2">
        <f t="shared" si="3"/>
        <v>5</v>
      </c>
      <c r="S3" s="2">
        <f t="shared" si="4"/>
        <v>20</v>
      </c>
      <c r="T3" s="2" t="str">
        <f t="shared" si="5"/>
        <v>Critical</v>
      </c>
      <c r="U3" s="2" t="s">
        <v>224</v>
      </c>
    </row>
    <row r="4" spans="1:21" ht="28.8" x14ac:dyDescent="0.3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>
        <v>3</v>
      </c>
      <c r="J4" s="2">
        <v>5</v>
      </c>
      <c r="K4" s="2" t="s">
        <v>29</v>
      </c>
      <c r="L4" s="2" t="s">
        <v>53</v>
      </c>
      <c r="M4" s="2" t="s">
        <v>54</v>
      </c>
      <c r="N4" s="3" t="s">
        <v>32</v>
      </c>
      <c r="O4" s="2">
        <f t="shared" si="0"/>
        <v>15</v>
      </c>
      <c r="P4" s="2" t="str">
        <f t="shared" si="1"/>
        <v>High</v>
      </c>
      <c r="Q4" s="2">
        <f t="shared" si="2"/>
        <v>3</v>
      </c>
      <c r="R4" s="2">
        <f t="shared" si="3"/>
        <v>5</v>
      </c>
      <c r="S4" s="2">
        <f t="shared" si="4"/>
        <v>15</v>
      </c>
      <c r="T4" s="2" t="str">
        <f t="shared" si="5"/>
        <v>High</v>
      </c>
      <c r="U4" s="2" t="s">
        <v>33</v>
      </c>
    </row>
    <row r="5" spans="1:21" ht="43.2" x14ac:dyDescent="0.3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>
        <v>3</v>
      </c>
      <c r="J5" s="2">
        <v>5</v>
      </c>
      <c r="K5" s="2" t="s">
        <v>29</v>
      </c>
      <c r="L5" s="2" t="s">
        <v>63</v>
      </c>
      <c r="M5" s="2" t="s">
        <v>64</v>
      </c>
      <c r="N5" s="3" t="s">
        <v>65</v>
      </c>
      <c r="O5" s="2">
        <f t="shared" si="0"/>
        <v>15</v>
      </c>
      <c r="P5" s="2" t="str">
        <f t="shared" si="1"/>
        <v>High</v>
      </c>
      <c r="Q5" s="2">
        <f t="shared" si="2"/>
        <v>3</v>
      </c>
      <c r="R5" s="2">
        <f t="shared" si="3"/>
        <v>5</v>
      </c>
      <c r="S5" s="2">
        <f t="shared" si="4"/>
        <v>15</v>
      </c>
      <c r="T5" s="2" t="str">
        <f t="shared" si="5"/>
        <v>High</v>
      </c>
      <c r="U5" s="2" t="s">
        <v>224</v>
      </c>
    </row>
    <row r="6" spans="1:21" ht="43.2" x14ac:dyDescent="0.3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72</v>
      </c>
      <c r="H6" s="2" t="s">
        <v>73</v>
      </c>
      <c r="I6" s="2">
        <v>4</v>
      </c>
      <c r="J6" s="2">
        <v>4</v>
      </c>
      <c r="K6" s="2" t="s">
        <v>29</v>
      </c>
      <c r="L6" s="2" t="s">
        <v>74</v>
      </c>
      <c r="M6" s="2" t="s">
        <v>64</v>
      </c>
      <c r="N6" s="3" t="s">
        <v>44</v>
      </c>
      <c r="O6" s="2">
        <f t="shared" si="0"/>
        <v>16</v>
      </c>
      <c r="P6" s="2" t="str">
        <f t="shared" si="1"/>
        <v>High</v>
      </c>
      <c r="Q6" s="2">
        <f t="shared" si="2"/>
        <v>4</v>
      </c>
      <c r="R6" s="2">
        <f t="shared" si="3"/>
        <v>4</v>
      </c>
      <c r="S6" s="2">
        <f t="shared" si="4"/>
        <v>16</v>
      </c>
      <c r="T6" s="2" t="str">
        <f t="shared" si="5"/>
        <v>High</v>
      </c>
      <c r="U6" s="2" t="s">
        <v>224</v>
      </c>
    </row>
    <row r="7" spans="1:21" ht="43.2" x14ac:dyDescent="0.3">
      <c r="A7" s="2" t="s">
        <v>75</v>
      </c>
      <c r="B7" s="2" t="s">
        <v>76</v>
      </c>
      <c r="C7" s="2" t="s">
        <v>77</v>
      </c>
      <c r="D7" s="2" t="s">
        <v>78</v>
      </c>
      <c r="E7" s="2" t="s">
        <v>79</v>
      </c>
      <c r="F7" s="2" t="s">
        <v>80</v>
      </c>
      <c r="G7" s="2" t="s">
        <v>81</v>
      </c>
      <c r="H7" s="2" t="s">
        <v>82</v>
      </c>
      <c r="I7" s="2">
        <v>3</v>
      </c>
      <c r="J7" s="2">
        <v>5</v>
      </c>
      <c r="K7" s="2" t="s">
        <v>29</v>
      </c>
      <c r="L7" s="2" t="s">
        <v>83</v>
      </c>
      <c r="M7" s="2" t="s">
        <v>84</v>
      </c>
      <c r="N7" s="3" t="s">
        <v>85</v>
      </c>
      <c r="O7" s="2">
        <f t="shared" si="0"/>
        <v>15</v>
      </c>
      <c r="P7" s="2" t="str">
        <f t="shared" si="1"/>
        <v>High</v>
      </c>
      <c r="Q7" s="2">
        <f t="shared" si="2"/>
        <v>3</v>
      </c>
      <c r="R7" s="2">
        <f t="shared" si="3"/>
        <v>5</v>
      </c>
      <c r="S7" s="2">
        <f t="shared" si="4"/>
        <v>15</v>
      </c>
      <c r="T7" s="2" t="str">
        <f t="shared" si="5"/>
        <v>High</v>
      </c>
      <c r="U7" s="2" t="s">
        <v>33</v>
      </c>
    </row>
    <row r="8" spans="1:21" ht="28.8" x14ac:dyDescent="0.3">
      <c r="A8" s="2" t="s">
        <v>86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91</v>
      </c>
      <c r="G8" s="2" t="s">
        <v>92</v>
      </c>
      <c r="H8" s="2" t="s">
        <v>93</v>
      </c>
      <c r="I8" s="2">
        <v>3</v>
      </c>
      <c r="J8" s="2">
        <v>5</v>
      </c>
      <c r="K8" s="2" t="s">
        <v>29</v>
      </c>
      <c r="L8" s="2" t="s">
        <v>94</v>
      </c>
      <c r="M8" s="2" t="s">
        <v>64</v>
      </c>
      <c r="N8" s="3" t="s">
        <v>95</v>
      </c>
      <c r="O8" s="2">
        <f t="shared" si="0"/>
        <v>15</v>
      </c>
      <c r="P8" s="2" t="str">
        <f t="shared" si="1"/>
        <v>High</v>
      </c>
      <c r="Q8" s="2">
        <f t="shared" si="2"/>
        <v>3</v>
      </c>
      <c r="R8" s="2">
        <f t="shared" si="3"/>
        <v>5</v>
      </c>
      <c r="S8" s="2">
        <f t="shared" si="4"/>
        <v>15</v>
      </c>
      <c r="T8" s="2" t="str">
        <f t="shared" si="5"/>
        <v>High</v>
      </c>
      <c r="U8" s="2" t="s">
        <v>224</v>
      </c>
    </row>
    <row r="9" spans="1:21" ht="43.2" x14ac:dyDescent="0.3">
      <c r="A9" s="2" t="s">
        <v>96</v>
      </c>
      <c r="B9" s="2" t="s">
        <v>97</v>
      </c>
      <c r="C9" s="2" t="s">
        <v>98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103</v>
      </c>
      <c r="I9" s="2">
        <v>4</v>
      </c>
      <c r="J9" s="2">
        <v>5</v>
      </c>
      <c r="K9" s="2" t="s">
        <v>29</v>
      </c>
      <c r="L9" s="2" t="s">
        <v>104</v>
      </c>
      <c r="M9" s="2" t="s">
        <v>105</v>
      </c>
      <c r="N9" s="3" t="s">
        <v>44</v>
      </c>
      <c r="O9" s="2">
        <f t="shared" si="0"/>
        <v>20</v>
      </c>
      <c r="P9" s="2" t="str">
        <f t="shared" si="1"/>
        <v>Critical</v>
      </c>
      <c r="Q9" s="2">
        <f t="shared" si="2"/>
        <v>4</v>
      </c>
      <c r="R9" s="2">
        <f t="shared" si="3"/>
        <v>5</v>
      </c>
      <c r="S9" s="2">
        <f t="shared" si="4"/>
        <v>20</v>
      </c>
      <c r="T9" s="2" t="str">
        <f t="shared" si="5"/>
        <v>Critical</v>
      </c>
      <c r="U9" s="2" t="s">
        <v>224</v>
      </c>
    </row>
    <row r="10" spans="1:21" ht="43.2" x14ac:dyDescent="0.3">
      <c r="A10" s="2" t="s">
        <v>106</v>
      </c>
      <c r="B10" s="2" t="s">
        <v>107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112</v>
      </c>
      <c r="H10" s="2" t="s">
        <v>113</v>
      </c>
      <c r="I10" s="2">
        <v>4</v>
      </c>
      <c r="J10" s="2">
        <v>5</v>
      </c>
      <c r="K10" s="2" t="s">
        <v>29</v>
      </c>
      <c r="L10" s="2" t="s">
        <v>114</v>
      </c>
      <c r="M10" s="2" t="s">
        <v>31</v>
      </c>
      <c r="N10" s="3" t="s">
        <v>65</v>
      </c>
      <c r="O10" s="2">
        <f t="shared" si="0"/>
        <v>20</v>
      </c>
      <c r="P10" s="2" t="str">
        <f t="shared" si="1"/>
        <v>Critical</v>
      </c>
      <c r="Q10" s="2">
        <f t="shared" si="2"/>
        <v>4</v>
      </c>
      <c r="R10" s="2">
        <f t="shared" si="3"/>
        <v>5</v>
      </c>
      <c r="S10" s="2">
        <f t="shared" si="4"/>
        <v>20</v>
      </c>
      <c r="T10" s="2" t="str">
        <f t="shared" si="5"/>
        <v>Critical</v>
      </c>
      <c r="U10" s="2" t="s">
        <v>33</v>
      </c>
    </row>
    <row r="11" spans="1:21" ht="28.8" x14ac:dyDescent="0.3">
      <c r="A11" s="2" t="s">
        <v>115</v>
      </c>
      <c r="B11" s="2" t="s">
        <v>116</v>
      </c>
      <c r="C11" s="2" t="s">
        <v>117</v>
      </c>
      <c r="D11" s="2" t="s">
        <v>118</v>
      </c>
      <c r="E11" s="2" t="s">
        <v>119</v>
      </c>
      <c r="F11" s="2" t="s">
        <v>120</v>
      </c>
      <c r="G11" s="2" t="s">
        <v>121</v>
      </c>
      <c r="H11" s="2" t="s">
        <v>122</v>
      </c>
      <c r="I11" s="2">
        <v>3</v>
      </c>
      <c r="J11" s="2">
        <v>4</v>
      </c>
      <c r="K11" s="2" t="s">
        <v>29</v>
      </c>
      <c r="L11" s="2" t="s">
        <v>123</v>
      </c>
      <c r="M11" s="2" t="s">
        <v>124</v>
      </c>
      <c r="N11" s="3" t="s">
        <v>85</v>
      </c>
      <c r="O11" s="2">
        <f t="shared" si="0"/>
        <v>12</v>
      </c>
      <c r="P11" s="2" t="str">
        <f t="shared" si="1"/>
        <v>High</v>
      </c>
      <c r="Q11" s="2">
        <f t="shared" si="2"/>
        <v>3</v>
      </c>
      <c r="R11" s="2">
        <f t="shared" si="3"/>
        <v>4</v>
      </c>
      <c r="S11" s="2">
        <f t="shared" si="4"/>
        <v>12</v>
      </c>
      <c r="T11" s="2" t="str">
        <f t="shared" si="5"/>
        <v>High</v>
      </c>
      <c r="U11" s="2" t="s">
        <v>224</v>
      </c>
    </row>
    <row r="12" spans="1:21" ht="43.2" x14ac:dyDescent="0.3">
      <c r="A12" s="2" t="s">
        <v>125</v>
      </c>
      <c r="B12" s="2" t="s">
        <v>126</v>
      </c>
      <c r="C12" s="2" t="s">
        <v>127</v>
      </c>
      <c r="D12" s="2" t="s">
        <v>128</v>
      </c>
      <c r="E12" s="2" t="s">
        <v>129</v>
      </c>
      <c r="F12" s="2" t="s">
        <v>130</v>
      </c>
      <c r="G12" s="2" t="s">
        <v>131</v>
      </c>
      <c r="H12" s="2" t="s">
        <v>132</v>
      </c>
      <c r="I12" s="2">
        <v>4</v>
      </c>
      <c r="J12" s="2">
        <v>4</v>
      </c>
      <c r="K12" s="2" t="s">
        <v>29</v>
      </c>
      <c r="L12" s="2" t="s">
        <v>133</v>
      </c>
      <c r="M12" s="2" t="s">
        <v>134</v>
      </c>
      <c r="N12" s="3" t="s">
        <v>65</v>
      </c>
      <c r="O12" s="2">
        <f t="shared" si="0"/>
        <v>16</v>
      </c>
      <c r="P12" s="2" t="str">
        <f t="shared" si="1"/>
        <v>High</v>
      </c>
      <c r="Q12" s="2">
        <f t="shared" si="2"/>
        <v>4</v>
      </c>
      <c r="R12" s="2">
        <f t="shared" si="3"/>
        <v>4</v>
      </c>
      <c r="S12" s="2">
        <f t="shared" si="4"/>
        <v>16</v>
      </c>
      <c r="T12" s="2" t="str">
        <f t="shared" si="5"/>
        <v>High</v>
      </c>
      <c r="U12" s="2" t="s">
        <v>224</v>
      </c>
    </row>
    <row r="13" spans="1:21" ht="43.2" x14ac:dyDescent="0.3">
      <c r="A13" s="2" t="s">
        <v>135</v>
      </c>
      <c r="B13" s="2" t="s">
        <v>136</v>
      </c>
      <c r="C13" s="2" t="s">
        <v>137</v>
      </c>
      <c r="D13" s="2" t="s">
        <v>138</v>
      </c>
      <c r="E13" s="2" t="s">
        <v>139</v>
      </c>
      <c r="F13" s="2" t="s">
        <v>140</v>
      </c>
      <c r="G13" s="2" t="s">
        <v>141</v>
      </c>
      <c r="H13" s="2" t="s">
        <v>142</v>
      </c>
      <c r="I13" s="2">
        <v>3</v>
      </c>
      <c r="J13" s="2">
        <v>4</v>
      </c>
      <c r="K13" s="2" t="s">
        <v>228</v>
      </c>
      <c r="L13" s="2" t="s">
        <v>143</v>
      </c>
      <c r="M13" s="2" t="s">
        <v>229</v>
      </c>
      <c r="N13" s="3" t="s">
        <v>32</v>
      </c>
      <c r="O13" s="2">
        <f t="shared" si="0"/>
        <v>12</v>
      </c>
      <c r="P13" s="2" t="str">
        <f t="shared" si="1"/>
        <v>High</v>
      </c>
      <c r="Q13" s="2">
        <f t="shared" si="2"/>
        <v>3</v>
      </c>
      <c r="R13" s="2">
        <f t="shared" si="3"/>
        <v>4</v>
      </c>
      <c r="S13" s="2">
        <f t="shared" si="4"/>
        <v>12</v>
      </c>
      <c r="T13" s="2" t="str">
        <f t="shared" si="5"/>
        <v>High</v>
      </c>
      <c r="U13" s="2" t="s">
        <v>224</v>
      </c>
    </row>
    <row r="14" spans="1:21" ht="43.2" x14ac:dyDescent="0.3">
      <c r="A14" s="2" t="s">
        <v>144</v>
      </c>
      <c r="B14" s="2" t="s">
        <v>145</v>
      </c>
      <c r="C14" s="2" t="s">
        <v>146</v>
      </c>
      <c r="D14" s="2" t="s">
        <v>147</v>
      </c>
      <c r="E14" s="2" t="s">
        <v>70</v>
      </c>
      <c r="F14" s="2" t="s">
        <v>148</v>
      </c>
      <c r="G14" s="2" t="s">
        <v>149</v>
      </c>
      <c r="H14" s="2" t="s">
        <v>150</v>
      </c>
      <c r="I14" s="2">
        <v>4</v>
      </c>
      <c r="J14" s="2">
        <v>5</v>
      </c>
      <c r="K14" s="2" t="s">
        <v>29</v>
      </c>
      <c r="L14" s="2" t="s">
        <v>151</v>
      </c>
      <c r="M14" s="2" t="s">
        <v>64</v>
      </c>
      <c r="N14" s="3" t="s">
        <v>65</v>
      </c>
      <c r="O14" s="2">
        <f t="shared" si="0"/>
        <v>20</v>
      </c>
      <c r="P14" s="2" t="str">
        <f t="shared" si="1"/>
        <v>Critical</v>
      </c>
      <c r="Q14" s="2">
        <f t="shared" si="2"/>
        <v>4</v>
      </c>
      <c r="R14" s="2">
        <f t="shared" si="3"/>
        <v>5</v>
      </c>
      <c r="S14" s="2">
        <f t="shared" si="4"/>
        <v>20</v>
      </c>
      <c r="T14" s="2" t="str">
        <f t="shared" si="5"/>
        <v>Critical</v>
      </c>
      <c r="U14" s="2" t="s">
        <v>33</v>
      </c>
    </row>
    <row r="15" spans="1:21" ht="43.2" x14ac:dyDescent="0.3">
      <c r="A15" s="2" t="s">
        <v>152</v>
      </c>
      <c r="B15" s="2" t="s">
        <v>153</v>
      </c>
      <c r="C15" s="2" t="s">
        <v>154</v>
      </c>
      <c r="D15" s="2" t="s">
        <v>155</v>
      </c>
      <c r="E15" s="2" t="s">
        <v>156</v>
      </c>
      <c r="F15" s="2" t="s">
        <v>157</v>
      </c>
      <c r="G15" s="2" t="s">
        <v>158</v>
      </c>
      <c r="H15" s="2" t="s">
        <v>159</v>
      </c>
      <c r="I15" s="2">
        <v>3</v>
      </c>
      <c r="J15" s="2">
        <v>4</v>
      </c>
      <c r="K15" s="2" t="s">
        <v>29</v>
      </c>
      <c r="L15" s="2" t="s">
        <v>160</v>
      </c>
      <c r="M15" s="2" t="s">
        <v>54</v>
      </c>
      <c r="N15" s="3" t="s">
        <v>32</v>
      </c>
      <c r="O15" s="2">
        <f t="shared" si="0"/>
        <v>12</v>
      </c>
      <c r="P15" s="2" t="str">
        <f t="shared" si="1"/>
        <v>High</v>
      </c>
      <c r="Q15" s="2">
        <f t="shared" si="2"/>
        <v>3</v>
      </c>
      <c r="R15" s="2">
        <f t="shared" si="3"/>
        <v>4</v>
      </c>
      <c r="S15" s="2">
        <f t="shared" si="4"/>
        <v>12</v>
      </c>
      <c r="T15" s="2" t="str">
        <f t="shared" si="5"/>
        <v>High</v>
      </c>
      <c r="U15" s="2" t="s">
        <v>33</v>
      </c>
    </row>
    <row r="16" spans="1:21" ht="28.8" x14ac:dyDescent="0.3">
      <c r="A16" s="2" t="s">
        <v>161</v>
      </c>
      <c r="B16" s="2" t="s">
        <v>162</v>
      </c>
      <c r="C16" s="2" t="s">
        <v>163</v>
      </c>
      <c r="D16" s="2" t="s">
        <v>164</v>
      </c>
      <c r="E16" s="2" t="s">
        <v>165</v>
      </c>
      <c r="F16" s="2" t="s">
        <v>166</v>
      </c>
      <c r="G16" s="2" t="s">
        <v>167</v>
      </c>
      <c r="H16" s="2" t="s">
        <v>168</v>
      </c>
      <c r="I16" s="2">
        <v>3</v>
      </c>
      <c r="J16" s="2">
        <v>5</v>
      </c>
      <c r="K16" s="2" t="s">
        <v>29</v>
      </c>
      <c r="L16" s="2" t="s">
        <v>169</v>
      </c>
      <c r="M16" s="2" t="s">
        <v>31</v>
      </c>
      <c r="N16" s="3" t="s">
        <v>170</v>
      </c>
      <c r="O16" s="2">
        <f t="shared" si="0"/>
        <v>15</v>
      </c>
      <c r="P16" s="2" t="str">
        <f t="shared" si="1"/>
        <v>High</v>
      </c>
      <c r="Q16" s="2">
        <f t="shared" si="2"/>
        <v>3</v>
      </c>
      <c r="R16" s="2">
        <f t="shared" si="3"/>
        <v>5</v>
      </c>
      <c r="S16" s="2">
        <f t="shared" si="4"/>
        <v>15</v>
      </c>
      <c r="T16" s="2" t="str">
        <f t="shared" si="5"/>
        <v>High</v>
      </c>
      <c r="U16" s="2" t="s">
        <v>224</v>
      </c>
    </row>
    <row r="17" spans="1:21" ht="43.2" x14ac:dyDescent="0.3">
      <c r="A17" s="2" t="s">
        <v>171</v>
      </c>
      <c r="B17" s="2" t="s">
        <v>172</v>
      </c>
      <c r="C17" s="2" t="s">
        <v>173</v>
      </c>
      <c r="D17" s="2" t="s">
        <v>174</v>
      </c>
      <c r="E17" s="2" t="s">
        <v>175</v>
      </c>
      <c r="F17" s="2" t="s">
        <v>176</v>
      </c>
      <c r="G17" s="2" t="s">
        <v>177</v>
      </c>
      <c r="H17" s="2" t="s">
        <v>178</v>
      </c>
      <c r="I17" s="2">
        <v>3</v>
      </c>
      <c r="J17" s="2">
        <v>4</v>
      </c>
      <c r="K17" s="2" t="s">
        <v>29</v>
      </c>
      <c r="L17" s="2" t="s">
        <v>179</v>
      </c>
      <c r="M17" s="2" t="s">
        <v>124</v>
      </c>
      <c r="N17" s="3" t="s">
        <v>85</v>
      </c>
      <c r="O17" s="2">
        <f t="shared" si="0"/>
        <v>12</v>
      </c>
      <c r="P17" s="2" t="str">
        <f t="shared" si="1"/>
        <v>High</v>
      </c>
      <c r="Q17" s="2">
        <f t="shared" si="2"/>
        <v>3</v>
      </c>
      <c r="R17" s="2">
        <f t="shared" si="3"/>
        <v>4</v>
      </c>
      <c r="S17" s="2">
        <f t="shared" si="4"/>
        <v>12</v>
      </c>
      <c r="T17" s="2" t="str">
        <f t="shared" si="5"/>
        <v>High</v>
      </c>
      <c r="U17" s="2" t="s">
        <v>224</v>
      </c>
    </row>
    <row r="18" spans="1:21" ht="43.2" x14ac:dyDescent="0.3">
      <c r="A18" s="2" t="s">
        <v>180</v>
      </c>
      <c r="B18" s="2" t="s">
        <v>181</v>
      </c>
      <c r="C18" s="2" t="s">
        <v>182</v>
      </c>
      <c r="D18" s="2" t="s">
        <v>183</v>
      </c>
      <c r="E18" s="2" t="s">
        <v>184</v>
      </c>
      <c r="F18" s="2" t="s">
        <v>185</v>
      </c>
      <c r="G18" s="2" t="s">
        <v>186</v>
      </c>
      <c r="H18" s="2" t="s">
        <v>187</v>
      </c>
      <c r="I18" s="2">
        <v>3</v>
      </c>
      <c r="J18" s="2">
        <v>5</v>
      </c>
      <c r="K18" s="2" t="s">
        <v>29</v>
      </c>
      <c r="L18" s="2" t="s">
        <v>188</v>
      </c>
      <c r="M18" s="2" t="s">
        <v>189</v>
      </c>
      <c r="N18" s="3" t="s">
        <v>32</v>
      </c>
      <c r="O18" s="2">
        <f t="shared" si="0"/>
        <v>15</v>
      </c>
      <c r="P18" s="2" t="str">
        <f t="shared" si="1"/>
        <v>High</v>
      </c>
      <c r="Q18" s="2">
        <f t="shared" si="2"/>
        <v>3</v>
      </c>
      <c r="R18" s="2">
        <f t="shared" si="3"/>
        <v>5</v>
      </c>
      <c r="S18" s="2">
        <f t="shared" si="4"/>
        <v>15</v>
      </c>
      <c r="T18" s="2" t="str">
        <f t="shared" si="5"/>
        <v>High</v>
      </c>
      <c r="U18" s="2" t="s">
        <v>224</v>
      </c>
    </row>
    <row r="19" spans="1:21" ht="43.2" x14ac:dyDescent="0.3">
      <c r="A19" s="2" t="s">
        <v>190</v>
      </c>
      <c r="B19" s="2" t="s">
        <v>191</v>
      </c>
      <c r="C19" s="2" t="s">
        <v>192</v>
      </c>
      <c r="D19" s="2" t="s">
        <v>193</v>
      </c>
      <c r="E19" s="2" t="s">
        <v>194</v>
      </c>
      <c r="F19" s="2" t="s">
        <v>195</v>
      </c>
      <c r="G19" s="2" t="s">
        <v>196</v>
      </c>
      <c r="H19" s="2" t="s">
        <v>197</v>
      </c>
      <c r="I19" s="2">
        <v>3</v>
      </c>
      <c r="J19" s="2">
        <v>5</v>
      </c>
      <c r="K19" s="2" t="s">
        <v>228</v>
      </c>
      <c r="L19" s="2" t="s">
        <v>198</v>
      </c>
      <c r="M19" s="2" t="s">
        <v>230</v>
      </c>
      <c r="N19" s="3" t="s">
        <v>170</v>
      </c>
      <c r="O19" s="2">
        <f t="shared" si="0"/>
        <v>15</v>
      </c>
      <c r="P19" s="2" t="str">
        <f t="shared" si="1"/>
        <v>High</v>
      </c>
      <c r="Q19" s="2">
        <f t="shared" si="2"/>
        <v>3</v>
      </c>
      <c r="R19" s="2">
        <f t="shared" si="3"/>
        <v>5</v>
      </c>
      <c r="S19" s="2">
        <f t="shared" si="4"/>
        <v>15</v>
      </c>
      <c r="T19" s="2" t="str">
        <f t="shared" si="5"/>
        <v>High</v>
      </c>
      <c r="U19" s="2" t="s">
        <v>224</v>
      </c>
    </row>
    <row r="20" spans="1:21" ht="28.8" x14ac:dyDescent="0.3">
      <c r="A20" s="2" t="s">
        <v>199</v>
      </c>
      <c r="B20" s="2" t="s">
        <v>200</v>
      </c>
      <c r="C20" s="2" t="s">
        <v>201</v>
      </c>
      <c r="D20" s="2" t="s">
        <v>202</v>
      </c>
      <c r="E20" s="2" t="s">
        <v>203</v>
      </c>
      <c r="F20" s="2" t="s">
        <v>204</v>
      </c>
      <c r="G20" s="2" t="s">
        <v>205</v>
      </c>
      <c r="H20" s="2" t="s">
        <v>206</v>
      </c>
      <c r="I20" s="2">
        <v>3</v>
      </c>
      <c r="J20" s="2">
        <v>4</v>
      </c>
      <c r="K20" s="2" t="s">
        <v>29</v>
      </c>
      <c r="L20" s="2" t="s">
        <v>207</v>
      </c>
      <c r="M20" s="2" t="s">
        <v>31</v>
      </c>
      <c r="N20" s="3" t="s">
        <v>65</v>
      </c>
      <c r="O20" s="2">
        <f t="shared" si="0"/>
        <v>12</v>
      </c>
      <c r="P20" s="2" t="str">
        <f t="shared" si="1"/>
        <v>High</v>
      </c>
      <c r="Q20" s="2">
        <f t="shared" si="2"/>
        <v>3</v>
      </c>
      <c r="R20" s="2">
        <f t="shared" si="3"/>
        <v>4</v>
      </c>
      <c r="S20" s="2">
        <f t="shared" si="4"/>
        <v>12</v>
      </c>
      <c r="T20" s="2" t="str">
        <f t="shared" si="5"/>
        <v>High</v>
      </c>
      <c r="U20" s="2" t="s">
        <v>225</v>
      </c>
    </row>
    <row r="21" spans="1:21" ht="43.2" x14ac:dyDescent="0.3">
      <c r="A21" s="2" t="s">
        <v>208</v>
      </c>
      <c r="B21" s="2" t="s">
        <v>209</v>
      </c>
      <c r="C21" s="2" t="s">
        <v>210</v>
      </c>
      <c r="D21" s="2" t="s">
        <v>211</v>
      </c>
      <c r="E21" s="2" t="s">
        <v>212</v>
      </c>
      <c r="F21" s="2" t="s">
        <v>213</v>
      </c>
      <c r="G21" s="2" t="s">
        <v>214</v>
      </c>
      <c r="H21" s="2" t="s">
        <v>215</v>
      </c>
      <c r="I21" s="2">
        <v>3</v>
      </c>
      <c r="J21" s="2">
        <v>4</v>
      </c>
      <c r="K21" s="2" t="s">
        <v>227</v>
      </c>
      <c r="L21" s="2" t="s">
        <v>216</v>
      </c>
      <c r="M21" s="2" t="s">
        <v>217</v>
      </c>
      <c r="N21" s="3" t="s">
        <v>32</v>
      </c>
      <c r="O21" s="2">
        <f t="shared" si="0"/>
        <v>12</v>
      </c>
      <c r="P21" s="2" t="str">
        <f t="shared" si="1"/>
        <v>High</v>
      </c>
      <c r="Q21" s="2">
        <f t="shared" si="2"/>
        <v>3</v>
      </c>
      <c r="R21" s="2">
        <f t="shared" si="3"/>
        <v>4</v>
      </c>
      <c r="S21" s="2">
        <f t="shared" si="4"/>
        <v>12</v>
      </c>
      <c r="T21" s="2" t="str">
        <f t="shared" si="5"/>
        <v>High</v>
      </c>
      <c r="U21" s="2" t="s">
        <v>226</v>
      </c>
    </row>
  </sheetData>
  <autoFilter ref="A1:U21" xr:uid="{00000000-0009-0000-0000-000000000000}"/>
  <conditionalFormatting sqref="P2:P100">
    <cfRule type="cellIs" dxfId="76" priority="9" operator="equal">
      <formula>"Critical"</formula>
    </cfRule>
    <cfRule type="cellIs" dxfId="75" priority="10" operator="equal">
      <formula>"High"</formula>
    </cfRule>
    <cfRule type="cellIs" dxfId="74" priority="11" operator="equal">
      <formula>"Moderate"</formula>
    </cfRule>
    <cfRule type="cellIs" dxfId="73" priority="12" operator="equal">
      <formula>"Low"</formula>
    </cfRule>
  </conditionalFormatting>
  <conditionalFormatting sqref="T2:T100">
    <cfRule type="cellIs" dxfId="72" priority="13" operator="equal">
      <formula>"Critical"</formula>
    </cfRule>
    <cfRule type="cellIs" dxfId="71" priority="14" operator="equal">
      <formula>"High"</formula>
    </cfRule>
    <cfRule type="cellIs" dxfId="70" priority="15" operator="equal">
      <formula>"Moderate"</formula>
    </cfRule>
    <cfRule type="cellIs" dxfId="69" priority="16" operator="equal">
      <formula>"Low"</formula>
    </cfRule>
  </conditionalFormatting>
  <conditionalFormatting sqref="T2:T21">
    <cfRule type="cellIs" dxfId="68" priority="8" operator="equal">
      <formula>"Critical"</formula>
    </cfRule>
    <cfRule type="cellIs" dxfId="67" priority="7" operator="equal">
      <formula>"High"</formula>
    </cfRule>
    <cfRule type="cellIs" dxfId="66" priority="6" operator="equal">
      <formula>"Medium"</formula>
    </cfRule>
    <cfRule type="cellIs" dxfId="65" priority="5" operator="equal">
      <formula>"Low"</formula>
    </cfRule>
  </conditionalFormatting>
  <conditionalFormatting sqref="P1:P1048576">
    <cfRule type="cellIs" dxfId="46" priority="4" operator="equal">
      <formula>"Critical"</formula>
    </cfRule>
    <cfRule type="cellIs" dxfId="47" priority="3" operator="equal">
      <formula>"High"</formula>
    </cfRule>
    <cfRule type="cellIs" dxfId="48" priority="2" operator="equal">
      <formula>"Medium"</formula>
    </cfRule>
    <cfRule type="cellIs" dxfId="49" priority="1" operator="equal">
      <formula>"Low"</formula>
    </cfRule>
  </conditionalFormatting>
  <dataValidations count="3">
    <dataValidation type="list" sqref="Q2:R100 I2:J100" xr:uid="{00000000-0002-0000-0000-000000000000}">
      <formula1>"1,2,3,4,5"</formula1>
    </dataValidation>
    <dataValidation type="list" sqref="K2:K100" xr:uid="{00000000-0002-0000-0000-000002000000}">
      <formula1>"Mitigate,Avoid,Transfer,Accept"</formula1>
    </dataValidation>
    <dataValidation type="list" sqref="U2:U100 H22:H100" xr:uid="{00000000-0002-0000-0000-000005000000}">
      <formula1>"Open,In Progress,Accepted,Closed"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opLeftCell="E1" workbookViewId="0">
      <pane ySplit="1" topLeftCell="A2" activePane="bottomLeft" state="frozen"/>
      <selection pane="bottomLeft" activeCell="F13" sqref="F13"/>
    </sheetView>
  </sheetViews>
  <sheetFormatPr defaultRowHeight="14.4" x14ac:dyDescent="0.3"/>
  <cols>
    <col min="1" max="1" width="12" style="6" customWidth="1"/>
    <col min="2" max="2" width="32" style="6" customWidth="1"/>
    <col min="3" max="4" width="18" style="6" customWidth="1"/>
    <col min="5" max="5" width="50" style="6" customWidth="1"/>
    <col min="6" max="6" width="22" style="6" customWidth="1"/>
    <col min="7" max="7" width="14" style="6" customWidth="1"/>
    <col min="8" max="8" width="16" style="6" customWidth="1"/>
    <col min="9" max="9" width="35" style="6" customWidth="1"/>
    <col min="10" max="16384" width="8.88671875" style="6"/>
  </cols>
  <sheetData>
    <row r="1" spans="1:9" x14ac:dyDescent="0.3">
      <c r="A1" s="4" t="s">
        <v>0</v>
      </c>
      <c r="B1" s="4" t="s">
        <v>3</v>
      </c>
      <c r="C1" s="4" t="s">
        <v>218</v>
      </c>
      <c r="D1" s="4" t="s">
        <v>219</v>
      </c>
      <c r="E1" s="4" t="s">
        <v>220</v>
      </c>
      <c r="F1" s="4" t="s">
        <v>12</v>
      </c>
      <c r="G1" s="4" t="s">
        <v>13</v>
      </c>
      <c r="H1" s="4" t="s">
        <v>20</v>
      </c>
      <c r="I1" s="4" t="s">
        <v>221</v>
      </c>
    </row>
    <row r="2" spans="1:9" ht="28.8" x14ac:dyDescent="0.3">
      <c r="A2" s="5" t="str">
        <f>'Risk Register'!A2</f>
        <v>RSK-001</v>
      </c>
      <c r="B2" s="5" t="str">
        <f>'Risk Register'!D2</f>
        <v>Cloud Misconfiguration</v>
      </c>
      <c r="C2" s="5" t="str">
        <f>'Risk Register'!P2</f>
        <v>Critical</v>
      </c>
      <c r="D2" s="5" t="str">
        <f>'Risk Register'!K2</f>
        <v>Mitigate</v>
      </c>
      <c r="E2" s="5" t="str">
        <f>'Risk Register'!L2</f>
        <v>Strengthen configuration baselines, periodic reviews, and automated detection of high-risk changes.</v>
      </c>
      <c r="F2" s="5" t="str">
        <f>'Risk Register'!M2</f>
        <v>Cloud/DevOps</v>
      </c>
      <c r="G2" s="5" t="str">
        <f>'Risk Register'!N2</f>
        <v>2027-01-31</v>
      </c>
      <c r="H2" s="5" t="str">
        <f>'Risk Register'!U2</f>
        <v>In Progress</v>
      </c>
      <c r="I2" s="5"/>
    </row>
    <row r="3" spans="1:9" ht="28.8" x14ac:dyDescent="0.3">
      <c r="A3" s="5" t="str">
        <f>'Risk Register'!A3</f>
        <v>RSK-002</v>
      </c>
      <c r="B3" s="5" t="str">
        <f>'Risk Register'!D3</f>
        <v>Unauthorized Access to Customer Data</v>
      </c>
      <c r="C3" s="5" t="str">
        <f>'Risk Register'!P3</f>
        <v>Critical</v>
      </c>
      <c r="D3" s="5" t="str">
        <f>'Risk Register'!K3</f>
        <v>Mitigate</v>
      </c>
      <c r="E3" s="5" t="str">
        <f>'Risk Register'!L3</f>
        <v>Implement periodic access recertification, privileged-access controls, and enhanced database monitoring.</v>
      </c>
      <c r="F3" s="5" t="str">
        <f>'Risk Register'!M3</f>
        <v>Data Owner</v>
      </c>
      <c r="G3" s="5" t="str">
        <f>'Risk Register'!N3</f>
        <v>2026-12-15</v>
      </c>
      <c r="H3" s="5" t="str">
        <f>'Risk Register'!U3</f>
        <v>In Progress</v>
      </c>
      <c r="I3" s="5"/>
    </row>
    <row r="4" spans="1:9" ht="28.8" x14ac:dyDescent="0.3">
      <c r="A4" s="5" t="str">
        <f>'Risk Register'!A4</f>
        <v>RSK-003</v>
      </c>
      <c r="B4" s="5" t="str">
        <f>'Risk Register'!D4</f>
        <v>Unauthorized Model Access or Theft</v>
      </c>
      <c r="C4" s="5" t="str">
        <f>'Risk Register'!P4</f>
        <v>High</v>
      </c>
      <c r="D4" s="5" t="str">
        <f>'Risk Register'!K4</f>
        <v>Mitigate</v>
      </c>
      <c r="E4" s="5" t="str">
        <f>'Risk Register'!L4</f>
        <v>Strengthen model repository permissions, monitoring, and privileged access controls.</v>
      </c>
      <c r="F4" s="5" t="str">
        <f>'Risk Register'!M4</f>
        <v>ML Engineering</v>
      </c>
      <c r="G4" s="5" t="str">
        <f>'Risk Register'!N4</f>
        <v>2027-01-31</v>
      </c>
      <c r="H4" s="5" t="str">
        <f>'Risk Register'!U4</f>
        <v>Open</v>
      </c>
      <c r="I4" s="5"/>
    </row>
    <row r="5" spans="1:9" ht="28.8" x14ac:dyDescent="0.3">
      <c r="A5" s="5" t="str">
        <f>'Risk Register'!A5</f>
        <v>RSK-004</v>
      </c>
      <c r="B5" s="5" t="str">
        <f>'Risk Register'!D5</f>
        <v>Source Code Compromise</v>
      </c>
      <c r="C5" s="5" t="str">
        <f>'Risk Register'!P5</f>
        <v>High</v>
      </c>
      <c r="D5" s="5" t="str">
        <f>'Risk Register'!K5</f>
        <v>Mitigate</v>
      </c>
      <c r="E5" s="5" t="str">
        <f>'Risk Register'!L5</f>
        <v>Expand branch protection, privileged access review, and security monitoring for repository activity.</v>
      </c>
      <c r="F5" s="5" t="str">
        <f>'Risk Register'!M5</f>
        <v>Engineering</v>
      </c>
      <c r="G5" s="5" t="str">
        <f>'Risk Register'!N5</f>
        <v>2026-12-31</v>
      </c>
      <c r="H5" s="5" t="str">
        <f>'Risk Register'!U5</f>
        <v>In Progress</v>
      </c>
      <c r="I5" s="5"/>
    </row>
    <row r="6" spans="1:9" ht="28.8" x14ac:dyDescent="0.3">
      <c r="A6" s="5" t="str">
        <f>'Risk Register'!A6</f>
        <v>RSK-005</v>
      </c>
      <c r="B6" s="5" t="str">
        <f>'Risk Register'!D6</f>
        <v>API Credential Compromise and Abuse</v>
      </c>
      <c r="C6" s="5" t="str">
        <f>'Risk Register'!P6</f>
        <v>High</v>
      </c>
      <c r="D6" s="5" t="str">
        <f>'Risk Register'!K6</f>
        <v>Mitigate</v>
      </c>
      <c r="E6" s="5" t="str">
        <f>'Risk Register'!L6</f>
        <v>Improve credential lifecycle management, API monitoring, rate limiting, and anomaly detection.</v>
      </c>
      <c r="F6" s="5" t="str">
        <f>'Risk Register'!M6</f>
        <v>Engineering</v>
      </c>
      <c r="G6" s="5" t="str">
        <f>'Risk Register'!N6</f>
        <v>2026-12-15</v>
      </c>
      <c r="H6" s="5" t="str">
        <f>'Risk Register'!U6</f>
        <v>In Progress</v>
      </c>
      <c r="I6" s="5"/>
    </row>
    <row r="7" spans="1:9" ht="28.8" x14ac:dyDescent="0.3">
      <c r="A7" s="5" t="str">
        <f>'Risk Register'!A7</f>
        <v>RSK-006</v>
      </c>
      <c r="B7" s="5" t="str">
        <f>'Risk Register'!D7</f>
        <v>Software Supply-Chain Compromise</v>
      </c>
      <c r="C7" s="5" t="str">
        <f>'Risk Register'!P7</f>
        <v>High</v>
      </c>
      <c r="D7" s="5" t="str">
        <f>'Risk Register'!K7</f>
        <v>Mitigate</v>
      </c>
      <c r="E7" s="5" t="str">
        <f>'Risk Register'!L7</f>
        <v>Implement stronger pipeline segregation, dependency verification, and protected deployment approvals.</v>
      </c>
      <c r="F7" s="5" t="str">
        <f>'Risk Register'!M7</f>
        <v>DevOps</v>
      </c>
      <c r="G7" s="5" t="str">
        <f>'Risk Register'!N7</f>
        <v>2027-01-15</v>
      </c>
      <c r="H7" s="5" t="str">
        <f>'Risk Register'!U7</f>
        <v>Open</v>
      </c>
      <c r="I7" s="5"/>
    </row>
    <row r="8" spans="1:9" ht="28.8" x14ac:dyDescent="0.3">
      <c r="A8" s="5" t="str">
        <f>'Risk Register'!A8</f>
        <v>RSK-007</v>
      </c>
      <c r="B8" s="5" t="str">
        <f>'Risk Register'!D8</f>
        <v>Repository Credential Exposure</v>
      </c>
      <c r="C8" s="5" t="str">
        <f>'Risk Register'!P8</f>
        <v>High</v>
      </c>
      <c r="D8" s="5" t="str">
        <f>'Risk Register'!K8</f>
        <v>Mitigate</v>
      </c>
      <c r="E8" s="5" t="str">
        <f>'Risk Register'!L8</f>
        <v>Implement secret scanning, credential rotation procedures, and developer security training.</v>
      </c>
      <c r="F8" s="5" t="str">
        <f>'Risk Register'!M8</f>
        <v>Engineering</v>
      </c>
      <c r="G8" s="5" t="str">
        <f>'Risk Register'!N8</f>
        <v>2026-11-30</v>
      </c>
      <c r="H8" s="5" t="str">
        <f>'Risk Register'!U8</f>
        <v>In Progress</v>
      </c>
      <c r="I8" s="5"/>
    </row>
    <row r="9" spans="1:9" ht="28.8" x14ac:dyDescent="0.3">
      <c r="A9" s="5" t="str">
        <f>'Risk Register'!A9</f>
        <v>RSK-008</v>
      </c>
      <c r="B9" s="5" t="str">
        <f>'Risk Register'!D9</f>
        <v>Identity Account Compromise</v>
      </c>
      <c r="C9" s="5" t="str">
        <f>'Risk Register'!P9</f>
        <v>Critical</v>
      </c>
      <c r="D9" s="5" t="str">
        <f>'Risk Register'!K9</f>
        <v>Mitigate</v>
      </c>
      <c r="E9" s="5" t="str">
        <f>'Risk Register'!L9</f>
        <v>Strengthen phishing-resistant MFA where feasible, conditional access, and privileged identity monitoring.</v>
      </c>
      <c r="F9" s="5" t="str">
        <f>'Risk Register'!M9</f>
        <v>IT/Security</v>
      </c>
      <c r="G9" s="5" t="str">
        <f>'Risk Register'!N9</f>
        <v>2026-12-15</v>
      </c>
      <c r="H9" s="5" t="str">
        <f>'Risk Register'!U9</f>
        <v>In Progress</v>
      </c>
      <c r="I9" s="5"/>
    </row>
    <row r="10" spans="1:9" ht="28.8" x14ac:dyDescent="0.3">
      <c r="A10" s="5" t="str">
        <f>'Risk Register'!A10</f>
        <v>RSK-009</v>
      </c>
      <c r="B10" s="5" t="str">
        <f>'Risk Register'!D10</f>
        <v>Excessive Cloud Privileges</v>
      </c>
      <c r="C10" s="5" t="str">
        <f>'Risk Register'!P10</f>
        <v>Critical</v>
      </c>
      <c r="D10" s="5" t="str">
        <f>'Risk Register'!K10</f>
        <v>Mitigate</v>
      </c>
      <c r="E10" s="5" t="str">
        <f>'Risk Register'!L10</f>
        <v>Perform recurring privilege reviews, reduce standing administrative access, and improve IAM monitoring.</v>
      </c>
      <c r="F10" s="5" t="str">
        <f>'Risk Register'!M10</f>
        <v>Cloud/DevOps</v>
      </c>
      <c r="G10" s="5" t="str">
        <f>'Risk Register'!N10</f>
        <v>2026-12-31</v>
      </c>
      <c r="H10" s="5" t="str">
        <f>'Risk Register'!U10</f>
        <v>Open</v>
      </c>
      <c r="I10" s="5"/>
    </row>
    <row r="11" spans="1:9" ht="28.8" x14ac:dyDescent="0.3">
      <c r="A11" s="5" t="str">
        <f>'Risk Register'!A11</f>
        <v>RSK-010</v>
      </c>
      <c r="B11" s="5" t="str">
        <f>'Risk Register'!D11</f>
        <v>Insufficient Security Monitoring</v>
      </c>
      <c r="C11" s="5" t="str">
        <f>'Risk Register'!P11</f>
        <v>High</v>
      </c>
      <c r="D11" s="5" t="str">
        <f>'Risk Register'!K11</f>
        <v>Mitigate</v>
      </c>
      <c r="E11" s="5" t="str">
        <f>'Risk Register'!L11</f>
        <v>Expand critical log coverage, retention standards, alert tuning, and monitoring ownership.</v>
      </c>
      <c r="F11" s="5" t="str">
        <f>'Risk Register'!M11</f>
        <v>Security Engineering</v>
      </c>
      <c r="G11" s="5" t="str">
        <f>'Risk Register'!N11</f>
        <v>2027-01-15</v>
      </c>
      <c r="H11" s="5" t="str">
        <f>'Risk Register'!U11</f>
        <v>In Progress</v>
      </c>
      <c r="I11" s="5"/>
    </row>
    <row r="12" spans="1:9" ht="28.8" x14ac:dyDescent="0.3">
      <c r="A12" s="5" t="str">
        <f>'Risk Register'!A12</f>
        <v>RSK-011</v>
      </c>
      <c r="B12" s="5" t="str">
        <f>'Risk Register'!D12</f>
        <v>Malware Infection</v>
      </c>
      <c r="C12" s="5" t="str">
        <f>'Risk Register'!P12</f>
        <v>High</v>
      </c>
      <c r="D12" s="5" t="str">
        <f>'Risk Register'!K12</f>
        <v>Mitigate</v>
      </c>
      <c r="E12" s="5" t="str">
        <f>'Risk Register'!L12</f>
        <v>Strengthen endpoint hardening, patch compliance monitoring, and phishing-resistant authentication.</v>
      </c>
      <c r="F12" s="5" t="str">
        <f>'Risk Register'!M12</f>
        <v>IT</v>
      </c>
      <c r="G12" s="5" t="str">
        <f>'Risk Register'!N12</f>
        <v>2026-12-31</v>
      </c>
      <c r="H12" s="5" t="str">
        <f>'Risk Register'!U12</f>
        <v>In Progress</v>
      </c>
      <c r="I12" s="5"/>
    </row>
    <row r="13" spans="1:9" ht="28.8" x14ac:dyDescent="0.3">
      <c r="A13" s="5" t="str">
        <f>'Risk Register'!A13</f>
        <v>RSK-012</v>
      </c>
      <c r="B13" s="5" t="str">
        <f>'Risk Register'!D13</f>
        <v>Third-Party SaaS Account Compromise</v>
      </c>
      <c r="C13" s="5" t="str">
        <f>'Risk Register'!P13</f>
        <v>High</v>
      </c>
      <c r="D13" s="5" t="str">
        <f>'Risk Register'!K13</f>
        <v>Transfer</v>
      </c>
      <c r="E13" s="5" t="str">
        <f>'Risk Register'!L13</f>
        <v>Standardize SaaS access reviews and third-party security assessments for critical services.</v>
      </c>
      <c r="F13" s="5" t="str">
        <f>'Risk Register'!M13</f>
        <v>IT / Operations Manager</v>
      </c>
      <c r="G13" s="5" t="str">
        <f>'Risk Register'!N13</f>
        <v>2027-01-31</v>
      </c>
      <c r="H13" s="5" t="str">
        <f>'Risk Register'!U13</f>
        <v>In Progress</v>
      </c>
      <c r="I13" s="5"/>
    </row>
    <row r="14" spans="1:9" ht="28.8" x14ac:dyDescent="0.3">
      <c r="A14" s="5" t="str">
        <f>'Risk Register'!A14</f>
        <v>RSK-013</v>
      </c>
      <c r="B14" s="5" t="str">
        <f>'Risk Register'!D14</f>
        <v>Application Security Vulnerability</v>
      </c>
      <c r="C14" s="5" t="str">
        <f>'Risk Register'!P14</f>
        <v>Critical</v>
      </c>
      <c r="D14" s="5" t="str">
        <f>'Risk Register'!K14</f>
        <v>Mitigate</v>
      </c>
      <c r="E14" s="5" t="str">
        <f>'Risk Register'!L14</f>
        <v>Expand application security testing, remediation SLAs, and security review gates in development.</v>
      </c>
      <c r="F14" s="5" t="str">
        <f>'Risk Register'!M14</f>
        <v>Engineering</v>
      </c>
      <c r="G14" s="5" t="str">
        <f>'Risk Register'!N14</f>
        <v>2026-12-31</v>
      </c>
      <c r="H14" s="5" t="str">
        <f>'Risk Register'!U14</f>
        <v>Open</v>
      </c>
      <c r="I14" s="5"/>
    </row>
    <row r="15" spans="1:9" ht="28.8" x14ac:dyDescent="0.3">
      <c r="A15" s="5" t="str">
        <f>'Risk Register'!A15</f>
        <v>RSK-014</v>
      </c>
      <c r="B15" s="5" t="str">
        <f>'Risk Register'!D15</f>
        <v>Unauthorized Compute Access</v>
      </c>
      <c r="C15" s="5" t="str">
        <f>'Risk Register'!P15</f>
        <v>High</v>
      </c>
      <c r="D15" s="5" t="str">
        <f>'Risk Register'!K15</f>
        <v>Mitigate</v>
      </c>
      <c r="E15" s="5" t="str">
        <f>'Risk Register'!L15</f>
        <v>Strengthen workload isolation, access reviews, and monitoring of anomalous compute activity.</v>
      </c>
      <c r="F15" s="5" t="str">
        <f>'Risk Register'!M15</f>
        <v>ML Engineering</v>
      </c>
      <c r="G15" s="5" t="str">
        <f>'Risk Register'!N15</f>
        <v>2027-01-31</v>
      </c>
      <c r="H15" s="5" t="str">
        <f>'Risk Register'!U15</f>
        <v>Open</v>
      </c>
      <c r="I15" s="5"/>
    </row>
    <row r="16" spans="1:9" ht="28.8" x14ac:dyDescent="0.3">
      <c r="A16" s="5" t="str">
        <f>'Risk Register'!A16</f>
        <v>RSK-015</v>
      </c>
      <c r="B16" s="5" t="str">
        <f>'Risk Register'!D16</f>
        <v>Backup or Recovery Failure</v>
      </c>
      <c r="C16" s="5" t="str">
        <f>'Risk Register'!P16</f>
        <v>High</v>
      </c>
      <c r="D16" s="5" t="str">
        <f>'Risk Register'!K16</f>
        <v>Mitigate</v>
      </c>
      <c r="E16" s="5" t="str">
        <f>'Risk Register'!L16</f>
        <v>Perform recovery testing, verify backup coverage, and strengthen backup isolation and monitoring.</v>
      </c>
      <c r="F16" s="5" t="str">
        <f>'Risk Register'!M16</f>
        <v>Cloud/DevOps</v>
      </c>
      <c r="G16" s="5" t="str">
        <f>'Risk Register'!N16</f>
        <v>2027-02-15</v>
      </c>
      <c r="H16" s="5" t="str">
        <f>'Risk Register'!U16</f>
        <v>In Progress</v>
      </c>
      <c r="I16" s="5"/>
    </row>
    <row r="17" spans="1:9" ht="28.8" x14ac:dyDescent="0.3">
      <c r="A17" s="5" t="str">
        <f>'Risk Register'!A17</f>
        <v>RSK-016</v>
      </c>
      <c r="B17" s="5" t="str">
        <f>'Risk Register'!D17</f>
        <v>Vulnerability Detection or Tracking Gap</v>
      </c>
      <c r="C17" s="5" t="str">
        <f>'Risk Register'!P17</f>
        <v>High</v>
      </c>
      <c r="D17" s="5" t="str">
        <f>'Risk Register'!K17</f>
        <v>Mitigate</v>
      </c>
      <c r="E17" s="5" t="str">
        <f>'Risk Register'!L17</f>
        <v>Improve asset coverage, scan validation, remediation SLAs, and exception tracking.</v>
      </c>
      <c r="F17" s="5" t="str">
        <f>'Risk Register'!M17</f>
        <v>Security Engineering</v>
      </c>
      <c r="G17" s="5" t="str">
        <f>'Risk Register'!N17</f>
        <v>2027-01-15</v>
      </c>
      <c r="H17" s="5" t="str">
        <f>'Risk Register'!U17</f>
        <v>In Progress</v>
      </c>
      <c r="I17" s="5"/>
    </row>
    <row r="18" spans="1:9" ht="28.8" x14ac:dyDescent="0.3">
      <c r="A18" s="5" t="str">
        <f>'Risk Register'!A18</f>
        <v>RSK-017</v>
      </c>
      <c r="B18" s="5" t="str">
        <f>'Risk Register'!D18</f>
        <v>Ineffective Incident Response</v>
      </c>
      <c r="C18" s="5" t="str">
        <f>'Risk Register'!P18</f>
        <v>High</v>
      </c>
      <c r="D18" s="5" t="str">
        <f>'Risk Register'!K18</f>
        <v>Mitigate</v>
      </c>
      <c r="E18" s="5" t="str">
        <f>'Risk Register'!L18</f>
        <v>Update IR procedures, clarify roles, establish evidence-handling requirements, and conduct tabletop exercises.</v>
      </c>
      <c r="F18" s="5" t="str">
        <f>'Risk Register'!M18</f>
        <v>Security Lead</v>
      </c>
      <c r="G18" s="5" t="str">
        <f>'Risk Register'!N18</f>
        <v>2027-01-31</v>
      </c>
      <c r="H18" s="5" t="str">
        <f>'Risk Register'!U18</f>
        <v>In Progress</v>
      </c>
      <c r="I18" s="5"/>
    </row>
    <row r="19" spans="1:9" ht="28.8" x14ac:dyDescent="0.3">
      <c r="A19" s="5" t="str">
        <f>'Risk Register'!A19</f>
        <v>RSK-018</v>
      </c>
      <c r="B19" s="5" t="str">
        <f>'Risk Register'!D19</f>
        <v>Critical Vendor Security Failure</v>
      </c>
      <c r="C19" s="5" t="str">
        <f>'Risk Register'!P19</f>
        <v>High</v>
      </c>
      <c r="D19" s="5" t="str">
        <f>'Risk Register'!K19</f>
        <v>Transfer</v>
      </c>
      <c r="E19" s="5" t="str">
        <f>'Risk Register'!L19</f>
        <v>Tier vendors by risk, strengthen security requirements, and perform recurring assessments of critical suppliers.</v>
      </c>
      <c r="F19" s="5" t="str">
        <f>'Risk Register'!M19</f>
        <v>Operations Manager</v>
      </c>
      <c r="G19" s="5" t="str">
        <f>'Risk Register'!N19</f>
        <v>2027-02-15</v>
      </c>
      <c r="H19" s="5" t="str">
        <f>'Risk Register'!U19</f>
        <v>In Progress</v>
      </c>
      <c r="I19" s="5"/>
    </row>
    <row r="20" spans="1:9" ht="28.8" x14ac:dyDescent="0.3">
      <c r="A20" s="5" t="str">
        <f>'Risk Register'!A20</f>
        <v>RSK-019</v>
      </c>
      <c r="B20" s="5" t="str">
        <f>'Risk Register'!D20</f>
        <v>DNS or Domain Takeover</v>
      </c>
      <c r="C20" s="5" t="str">
        <f>'Risk Register'!P20</f>
        <v>High</v>
      </c>
      <c r="D20" s="5" t="str">
        <f>'Risk Register'!K20</f>
        <v>Mitigate</v>
      </c>
      <c r="E20" s="5" t="str">
        <f>'Risk Register'!L20</f>
        <v>Strengthen registrar security, privileged access controls, and domain-change monitoring.</v>
      </c>
      <c r="F20" s="5" t="str">
        <f>'Risk Register'!M20</f>
        <v>Cloud/DevOps</v>
      </c>
      <c r="G20" s="5" t="str">
        <f>'Risk Register'!N20</f>
        <v>2026-12-31</v>
      </c>
      <c r="H20" s="5" t="str">
        <f>'Risk Register'!U20</f>
        <v>Closed</v>
      </c>
      <c r="I20" s="5"/>
    </row>
    <row r="21" spans="1:9" ht="28.8" x14ac:dyDescent="0.3">
      <c r="A21" s="5" t="str">
        <f>'Risk Register'!A21</f>
        <v>RSK-020</v>
      </c>
      <c r="B21" s="5" t="str">
        <f>'Risk Register'!D21</f>
        <v>Governance and Documentation Gap</v>
      </c>
      <c r="C21" s="5" t="str">
        <f>'Risk Register'!P21</f>
        <v>High</v>
      </c>
      <c r="D21" s="5" t="str">
        <f>'Risk Register'!K21</f>
        <v>Accept</v>
      </c>
      <c r="E21" s="5" t="str">
        <f>'Risk Register'!L21</f>
        <v>Establish formal document ownership, approval, review cycles, and linkage between risks, controls, and policies.</v>
      </c>
      <c r="F21" s="5" t="str">
        <f>'Risk Register'!M21</f>
        <v>GRC / Security Lead</v>
      </c>
      <c r="G21" s="5" t="str">
        <f>'Risk Register'!N21</f>
        <v>2027-01-31</v>
      </c>
      <c r="H21" s="5" t="str">
        <f>'Risk Register'!U21</f>
        <v>Accepted</v>
      </c>
      <c r="I21" s="5"/>
    </row>
  </sheetData>
  <autoFilter ref="A1:I21" xr:uid="{00000000-0009-0000-0000-000001000000}"/>
  <conditionalFormatting sqref="C1:C1048576">
    <cfRule type="cellIs" dxfId="36" priority="4" operator="equal">
      <formula>"Critical"</formula>
    </cfRule>
    <cfRule type="cellIs" dxfId="37" priority="3" operator="equal">
      <formula>"High"</formula>
    </cfRule>
    <cfRule type="cellIs" dxfId="38" priority="2" operator="equal">
      <formula>"Medium"</formula>
    </cfRule>
    <cfRule type="cellIs" dxfId="39" priority="1" operator="equal">
      <formula>"Low"</formula>
    </cfRule>
  </conditionalFormatting>
  <dataValidations count="1">
    <dataValidation type="list" sqref="H2:H100 U2:U100" xr:uid="{00000000-0002-0000-0100-000000000000}">
      <formula1>"Open,In Progress,Accepted,Closed"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abSelected="1" topLeftCell="F1" workbookViewId="0">
      <pane ySplit="1" topLeftCell="A12" activePane="bottomLeft" state="frozen"/>
      <selection pane="bottomLeft" activeCell="G8" sqref="G8"/>
    </sheetView>
  </sheetViews>
  <sheetFormatPr defaultRowHeight="14.4" x14ac:dyDescent="0.3"/>
  <cols>
    <col min="1" max="1" width="12" style="6" customWidth="1"/>
    <col min="2" max="2" width="32" style="6" customWidth="1"/>
    <col min="3" max="4" width="18" style="6" customWidth="1"/>
    <col min="5" max="5" width="50" style="6" customWidth="1"/>
    <col min="6" max="8" width="18" style="6" customWidth="1"/>
    <col min="9" max="9" width="20" style="6" customWidth="1"/>
    <col min="10" max="10" width="22" style="6" customWidth="1"/>
    <col min="11" max="11" width="16" style="6" customWidth="1"/>
    <col min="12" max="16384" width="8.88671875" style="6"/>
  </cols>
  <sheetData>
    <row r="1" spans="1:11" x14ac:dyDescent="0.3">
      <c r="A1" s="4" t="s">
        <v>0</v>
      </c>
      <c r="B1" s="4" t="s">
        <v>3</v>
      </c>
      <c r="C1" s="4" t="s">
        <v>222</v>
      </c>
      <c r="D1" s="4" t="s">
        <v>219</v>
      </c>
      <c r="E1" s="4" t="s">
        <v>220</v>
      </c>
      <c r="F1" s="4" t="s">
        <v>16</v>
      </c>
      <c r="G1" s="4" t="s">
        <v>17</v>
      </c>
      <c r="H1" s="4" t="s">
        <v>223</v>
      </c>
      <c r="I1" s="4" t="s">
        <v>19</v>
      </c>
      <c r="J1" s="4" t="s">
        <v>12</v>
      </c>
      <c r="K1" s="4" t="s">
        <v>20</v>
      </c>
    </row>
    <row r="2" spans="1:11" ht="28.8" x14ac:dyDescent="0.3">
      <c r="A2" s="5" t="str">
        <f>'Risk Register'!A2</f>
        <v>RSK-001</v>
      </c>
      <c r="B2" s="5" t="str">
        <f>'Risk Register'!D2</f>
        <v>Cloud Misconfiguration</v>
      </c>
      <c r="C2" s="5" t="str">
        <f>'Risk Register'!P2</f>
        <v>Critical</v>
      </c>
      <c r="D2" s="5" t="str">
        <f>'Risk Register'!K2</f>
        <v>Mitigate</v>
      </c>
      <c r="E2" s="5" t="str">
        <f>'Risk Register'!L2</f>
        <v>Strengthen configuration baselines, periodic reviews, and automated detection of high-risk changes.</v>
      </c>
      <c r="F2" s="5">
        <f>'Risk Register'!Q2</f>
        <v>4</v>
      </c>
      <c r="G2" s="5">
        <f>'Risk Register'!R2</f>
        <v>5</v>
      </c>
      <c r="H2" s="5">
        <f>'Risk Register'!S2</f>
        <v>20</v>
      </c>
      <c r="I2" s="5" t="str">
        <f>'Risk Register'!T2</f>
        <v>Critical</v>
      </c>
      <c r="J2" s="5" t="str">
        <f>'Risk Register'!M2</f>
        <v>Cloud/DevOps</v>
      </c>
      <c r="K2" s="5" t="str">
        <f>'Risk Register'!U2</f>
        <v>In Progress</v>
      </c>
    </row>
    <row r="3" spans="1:11" ht="28.8" x14ac:dyDescent="0.3">
      <c r="A3" s="5" t="str">
        <f>'Risk Register'!A3</f>
        <v>RSK-002</v>
      </c>
      <c r="B3" s="5" t="str">
        <f>'Risk Register'!D3</f>
        <v>Unauthorized Access to Customer Data</v>
      </c>
      <c r="C3" s="5" t="str">
        <f>'Risk Register'!P3</f>
        <v>Critical</v>
      </c>
      <c r="D3" s="5" t="str">
        <f>'Risk Register'!K3</f>
        <v>Mitigate</v>
      </c>
      <c r="E3" s="5" t="str">
        <f>'Risk Register'!L3</f>
        <v>Implement periodic access recertification, privileged-access controls, and enhanced database monitoring.</v>
      </c>
      <c r="F3" s="5">
        <f>'Risk Register'!Q3</f>
        <v>4</v>
      </c>
      <c r="G3" s="5">
        <f>'Risk Register'!R3</f>
        <v>5</v>
      </c>
      <c r="H3" s="5">
        <f>'Risk Register'!S3</f>
        <v>20</v>
      </c>
      <c r="I3" s="5" t="str">
        <f>'Risk Register'!T3</f>
        <v>Critical</v>
      </c>
      <c r="J3" s="5" t="str">
        <f>'Risk Register'!M3</f>
        <v>Data Owner</v>
      </c>
      <c r="K3" s="5" t="str">
        <f>'Risk Register'!U3</f>
        <v>In Progress</v>
      </c>
    </row>
    <row r="4" spans="1:11" ht="28.8" x14ac:dyDescent="0.3">
      <c r="A4" s="5" t="str">
        <f>'Risk Register'!A4</f>
        <v>RSK-003</v>
      </c>
      <c r="B4" s="5" t="str">
        <f>'Risk Register'!D4</f>
        <v>Unauthorized Model Access or Theft</v>
      </c>
      <c r="C4" s="5" t="str">
        <f>'Risk Register'!P4</f>
        <v>High</v>
      </c>
      <c r="D4" s="5" t="str">
        <f>'Risk Register'!K4</f>
        <v>Mitigate</v>
      </c>
      <c r="E4" s="5" t="str">
        <f>'Risk Register'!L4</f>
        <v>Strengthen model repository permissions, monitoring, and privileged access controls.</v>
      </c>
      <c r="F4" s="5">
        <f>'Risk Register'!Q4</f>
        <v>3</v>
      </c>
      <c r="G4" s="5">
        <f>'Risk Register'!R4</f>
        <v>5</v>
      </c>
      <c r="H4" s="5">
        <f>'Risk Register'!S4</f>
        <v>15</v>
      </c>
      <c r="I4" s="5" t="str">
        <f>'Risk Register'!T4</f>
        <v>High</v>
      </c>
      <c r="J4" s="5" t="str">
        <f>'Risk Register'!M4</f>
        <v>ML Engineering</v>
      </c>
      <c r="K4" s="5" t="str">
        <f>'Risk Register'!U4</f>
        <v>Open</v>
      </c>
    </row>
    <row r="5" spans="1:11" ht="28.8" x14ac:dyDescent="0.3">
      <c r="A5" s="5" t="str">
        <f>'Risk Register'!A5</f>
        <v>RSK-004</v>
      </c>
      <c r="B5" s="5" t="str">
        <f>'Risk Register'!D5</f>
        <v>Source Code Compromise</v>
      </c>
      <c r="C5" s="5" t="str">
        <f>'Risk Register'!P5</f>
        <v>High</v>
      </c>
      <c r="D5" s="5" t="str">
        <f>'Risk Register'!K5</f>
        <v>Mitigate</v>
      </c>
      <c r="E5" s="5" t="str">
        <f>'Risk Register'!L5</f>
        <v>Expand branch protection, privileged access review, and security monitoring for repository activity.</v>
      </c>
      <c r="F5" s="5">
        <f>'Risk Register'!Q5</f>
        <v>3</v>
      </c>
      <c r="G5" s="5">
        <f>'Risk Register'!R5</f>
        <v>5</v>
      </c>
      <c r="H5" s="5">
        <f>'Risk Register'!S5</f>
        <v>15</v>
      </c>
      <c r="I5" s="5" t="str">
        <f>'Risk Register'!T5</f>
        <v>High</v>
      </c>
      <c r="J5" s="5" t="str">
        <f>'Risk Register'!M5</f>
        <v>Engineering</v>
      </c>
      <c r="K5" s="5" t="str">
        <f>'Risk Register'!U5</f>
        <v>In Progress</v>
      </c>
    </row>
    <row r="6" spans="1:11" ht="28.8" x14ac:dyDescent="0.3">
      <c r="A6" s="5" t="str">
        <f>'Risk Register'!A6</f>
        <v>RSK-005</v>
      </c>
      <c r="B6" s="5" t="str">
        <f>'Risk Register'!D6</f>
        <v>API Credential Compromise and Abuse</v>
      </c>
      <c r="C6" s="5" t="str">
        <f>'Risk Register'!P6</f>
        <v>High</v>
      </c>
      <c r="D6" s="5" t="str">
        <f>'Risk Register'!K6</f>
        <v>Mitigate</v>
      </c>
      <c r="E6" s="5" t="str">
        <f>'Risk Register'!L6</f>
        <v>Improve credential lifecycle management, API monitoring, rate limiting, and anomaly detection.</v>
      </c>
      <c r="F6" s="5">
        <f>'Risk Register'!Q6</f>
        <v>4</v>
      </c>
      <c r="G6" s="5">
        <f>'Risk Register'!R6</f>
        <v>4</v>
      </c>
      <c r="H6" s="5">
        <f>'Risk Register'!S6</f>
        <v>16</v>
      </c>
      <c r="I6" s="5" t="str">
        <f>'Risk Register'!T6</f>
        <v>High</v>
      </c>
      <c r="J6" s="5" t="str">
        <f>'Risk Register'!M6</f>
        <v>Engineering</v>
      </c>
      <c r="K6" s="5" t="str">
        <f>'Risk Register'!U6</f>
        <v>In Progress</v>
      </c>
    </row>
    <row r="7" spans="1:11" ht="28.8" x14ac:dyDescent="0.3">
      <c r="A7" s="5" t="str">
        <f>'Risk Register'!A7</f>
        <v>RSK-006</v>
      </c>
      <c r="B7" s="5" t="str">
        <f>'Risk Register'!D7</f>
        <v>Software Supply-Chain Compromise</v>
      </c>
      <c r="C7" s="5" t="str">
        <f>'Risk Register'!P7</f>
        <v>High</v>
      </c>
      <c r="D7" s="5" t="str">
        <f>'Risk Register'!K7</f>
        <v>Mitigate</v>
      </c>
      <c r="E7" s="5" t="str">
        <f>'Risk Register'!L7</f>
        <v>Implement stronger pipeline segregation, dependency verification, and protected deployment approvals.</v>
      </c>
      <c r="F7" s="5">
        <f>'Risk Register'!Q7</f>
        <v>3</v>
      </c>
      <c r="G7" s="5">
        <f>'Risk Register'!R7</f>
        <v>5</v>
      </c>
      <c r="H7" s="5">
        <f>'Risk Register'!S7</f>
        <v>15</v>
      </c>
      <c r="I7" s="5" t="str">
        <f>'Risk Register'!T7</f>
        <v>High</v>
      </c>
      <c r="J7" s="5" t="str">
        <f>'Risk Register'!M7</f>
        <v>DevOps</v>
      </c>
      <c r="K7" s="5" t="str">
        <f>'Risk Register'!U7</f>
        <v>Open</v>
      </c>
    </row>
    <row r="8" spans="1:11" ht="28.8" x14ac:dyDescent="0.3">
      <c r="A8" s="5" t="str">
        <f>'Risk Register'!A8</f>
        <v>RSK-007</v>
      </c>
      <c r="B8" s="5" t="str">
        <f>'Risk Register'!D8</f>
        <v>Repository Credential Exposure</v>
      </c>
      <c r="C8" s="5" t="str">
        <f>'Risk Register'!P8</f>
        <v>High</v>
      </c>
      <c r="D8" s="5" t="str">
        <f>'Risk Register'!K8</f>
        <v>Mitigate</v>
      </c>
      <c r="E8" s="5" t="str">
        <f>'Risk Register'!L8</f>
        <v>Implement secret scanning, credential rotation procedures, and developer security training.</v>
      </c>
      <c r="F8" s="5">
        <f>'Risk Register'!Q8</f>
        <v>3</v>
      </c>
      <c r="G8" s="5">
        <f>'Risk Register'!R8</f>
        <v>5</v>
      </c>
      <c r="H8" s="5">
        <f>'Risk Register'!S8</f>
        <v>15</v>
      </c>
      <c r="I8" s="5" t="str">
        <f>'Risk Register'!T8</f>
        <v>High</v>
      </c>
      <c r="J8" s="5" t="str">
        <f>'Risk Register'!M8</f>
        <v>Engineering</v>
      </c>
      <c r="K8" s="5" t="str">
        <f>'Risk Register'!U8</f>
        <v>In Progress</v>
      </c>
    </row>
    <row r="9" spans="1:11" ht="28.8" x14ac:dyDescent="0.3">
      <c r="A9" s="5" t="str">
        <f>'Risk Register'!A9</f>
        <v>RSK-008</v>
      </c>
      <c r="B9" s="5" t="str">
        <f>'Risk Register'!D9</f>
        <v>Identity Account Compromise</v>
      </c>
      <c r="C9" s="5" t="str">
        <f>'Risk Register'!P9</f>
        <v>Critical</v>
      </c>
      <c r="D9" s="5" t="str">
        <f>'Risk Register'!K9</f>
        <v>Mitigate</v>
      </c>
      <c r="E9" s="5" t="str">
        <f>'Risk Register'!L9</f>
        <v>Strengthen phishing-resistant MFA where feasible, conditional access, and privileged identity monitoring.</v>
      </c>
      <c r="F9" s="5">
        <f>'Risk Register'!Q9</f>
        <v>4</v>
      </c>
      <c r="G9" s="5">
        <f>'Risk Register'!R9</f>
        <v>5</v>
      </c>
      <c r="H9" s="5">
        <f>'Risk Register'!S9</f>
        <v>20</v>
      </c>
      <c r="I9" s="5" t="str">
        <f>'Risk Register'!T9</f>
        <v>Critical</v>
      </c>
      <c r="J9" s="5" t="str">
        <f>'Risk Register'!M9</f>
        <v>IT/Security</v>
      </c>
      <c r="K9" s="5" t="str">
        <f>'Risk Register'!U9</f>
        <v>In Progress</v>
      </c>
    </row>
    <row r="10" spans="1:11" ht="28.8" x14ac:dyDescent="0.3">
      <c r="A10" s="5" t="str">
        <f>'Risk Register'!A10</f>
        <v>RSK-009</v>
      </c>
      <c r="B10" s="5" t="str">
        <f>'Risk Register'!D10</f>
        <v>Excessive Cloud Privileges</v>
      </c>
      <c r="C10" s="5" t="str">
        <f>'Risk Register'!P10</f>
        <v>Critical</v>
      </c>
      <c r="D10" s="5" t="str">
        <f>'Risk Register'!K10</f>
        <v>Mitigate</v>
      </c>
      <c r="E10" s="5" t="str">
        <f>'Risk Register'!L10</f>
        <v>Perform recurring privilege reviews, reduce standing administrative access, and improve IAM monitoring.</v>
      </c>
      <c r="F10" s="5">
        <f>'Risk Register'!Q10</f>
        <v>4</v>
      </c>
      <c r="G10" s="5">
        <f>'Risk Register'!R10</f>
        <v>5</v>
      </c>
      <c r="H10" s="5">
        <f>'Risk Register'!S10</f>
        <v>20</v>
      </c>
      <c r="I10" s="5" t="str">
        <f>'Risk Register'!T10</f>
        <v>Critical</v>
      </c>
      <c r="J10" s="5" t="str">
        <f>'Risk Register'!M10</f>
        <v>Cloud/DevOps</v>
      </c>
      <c r="K10" s="5" t="str">
        <f>'Risk Register'!U10</f>
        <v>Open</v>
      </c>
    </row>
    <row r="11" spans="1:11" ht="28.8" x14ac:dyDescent="0.3">
      <c r="A11" s="5" t="str">
        <f>'Risk Register'!A11</f>
        <v>RSK-010</v>
      </c>
      <c r="B11" s="5" t="str">
        <f>'Risk Register'!D11</f>
        <v>Insufficient Security Monitoring</v>
      </c>
      <c r="C11" s="5" t="str">
        <f>'Risk Register'!P11</f>
        <v>High</v>
      </c>
      <c r="D11" s="5" t="str">
        <f>'Risk Register'!K11</f>
        <v>Mitigate</v>
      </c>
      <c r="E11" s="5" t="str">
        <f>'Risk Register'!L11</f>
        <v>Expand critical log coverage, retention standards, alert tuning, and monitoring ownership.</v>
      </c>
      <c r="F11" s="5">
        <f>'Risk Register'!Q11</f>
        <v>3</v>
      </c>
      <c r="G11" s="5">
        <f>'Risk Register'!R11</f>
        <v>4</v>
      </c>
      <c r="H11" s="5">
        <f>'Risk Register'!S11</f>
        <v>12</v>
      </c>
      <c r="I11" s="5" t="str">
        <f>'Risk Register'!T11</f>
        <v>High</v>
      </c>
      <c r="J11" s="5" t="str">
        <f>'Risk Register'!M11</f>
        <v>Security Engineering</v>
      </c>
      <c r="K11" s="5" t="str">
        <f>'Risk Register'!U11</f>
        <v>In Progress</v>
      </c>
    </row>
    <row r="12" spans="1:11" ht="28.8" x14ac:dyDescent="0.3">
      <c r="A12" s="5" t="str">
        <f>'Risk Register'!A12</f>
        <v>RSK-011</v>
      </c>
      <c r="B12" s="5" t="str">
        <f>'Risk Register'!D12</f>
        <v>Malware Infection</v>
      </c>
      <c r="C12" s="5" t="str">
        <f>'Risk Register'!P12</f>
        <v>High</v>
      </c>
      <c r="D12" s="5" t="str">
        <f>'Risk Register'!K12</f>
        <v>Mitigate</v>
      </c>
      <c r="E12" s="5" t="str">
        <f>'Risk Register'!L12</f>
        <v>Strengthen endpoint hardening, patch compliance monitoring, and phishing-resistant authentication.</v>
      </c>
      <c r="F12" s="5">
        <f>'Risk Register'!Q12</f>
        <v>4</v>
      </c>
      <c r="G12" s="5">
        <f>'Risk Register'!R12</f>
        <v>4</v>
      </c>
      <c r="H12" s="5">
        <f>'Risk Register'!S12</f>
        <v>16</v>
      </c>
      <c r="I12" s="5" t="str">
        <f>'Risk Register'!T12</f>
        <v>High</v>
      </c>
      <c r="J12" s="5" t="str">
        <f>'Risk Register'!M12</f>
        <v>IT</v>
      </c>
      <c r="K12" s="5" t="str">
        <f>'Risk Register'!U12</f>
        <v>In Progress</v>
      </c>
    </row>
    <row r="13" spans="1:11" ht="28.8" x14ac:dyDescent="0.3">
      <c r="A13" s="5" t="str">
        <f>'Risk Register'!A13</f>
        <v>RSK-012</v>
      </c>
      <c r="B13" s="5" t="str">
        <f>'Risk Register'!D13</f>
        <v>Third-Party SaaS Account Compromise</v>
      </c>
      <c r="C13" s="5" t="str">
        <f>'Risk Register'!P13</f>
        <v>High</v>
      </c>
      <c r="D13" s="5" t="str">
        <f>'Risk Register'!K13</f>
        <v>Transfer</v>
      </c>
      <c r="E13" s="5" t="str">
        <f>'Risk Register'!L13</f>
        <v>Standardize SaaS access reviews and third-party security assessments for critical services.</v>
      </c>
      <c r="F13" s="5">
        <f>'Risk Register'!Q13</f>
        <v>3</v>
      </c>
      <c r="G13" s="5">
        <f>'Risk Register'!R13</f>
        <v>4</v>
      </c>
      <c r="H13" s="5">
        <f>'Risk Register'!S13</f>
        <v>12</v>
      </c>
      <c r="I13" s="5" t="str">
        <f>'Risk Register'!T13</f>
        <v>High</v>
      </c>
      <c r="J13" s="5" t="str">
        <f>'Risk Register'!M13</f>
        <v>IT / Operations Manager</v>
      </c>
      <c r="K13" s="5" t="str">
        <f>'Risk Register'!U13</f>
        <v>In Progress</v>
      </c>
    </row>
    <row r="14" spans="1:11" ht="28.8" x14ac:dyDescent="0.3">
      <c r="A14" s="5" t="str">
        <f>'Risk Register'!A14</f>
        <v>RSK-013</v>
      </c>
      <c r="B14" s="5" t="str">
        <f>'Risk Register'!D14</f>
        <v>Application Security Vulnerability</v>
      </c>
      <c r="C14" s="5" t="str">
        <f>'Risk Register'!P14</f>
        <v>Critical</v>
      </c>
      <c r="D14" s="5" t="str">
        <f>'Risk Register'!K14</f>
        <v>Mitigate</v>
      </c>
      <c r="E14" s="5" t="str">
        <f>'Risk Register'!L14</f>
        <v>Expand application security testing, remediation SLAs, and security review gates in development.</v>
      </c>
      <c r="F14" s="5">
        <f>'Risk Register'!Q14</f>
        <v>4</v>
      </c>
      <c r="G14" s="5">
        <f>'Risk Register'!R14</f>
        <v>5</v>
      </c>
      <c r="H14" s="5">
        <f>'Risk Register'!S14</f>
        <v>20</v>
      </c>
      <c r="I14" s="5" t="str">
        <f>'Risk Register'!T14</f>
        <v>Critical</v>
      </c>
      <c r="J14" s="5" t="str">
        <f>'Risk Register'!M14</f>
        <v>Engineering</v>
      </c>
      <c r="K14" s="5" t="str">
        <f>'Risk Register'!U14</f>
        <v>Open</v>
      </c>
    </row>
    <row r="15" spans="1:11" ht="28.8" x14ac:dyDescent="0.3">
      <c r="A15" s="5" t="str">
        <f>'Risk Register'!A15</f>
        <v>RSK-014</v>
      </c>
      <c r="B15" s="5" t="str">
        <f>'Risk Register'!D15</f>
        <v>Unauthorized Compute Access</v>
      </c>
      <c r="C15" s="5" t="str">
        <f>'Risk Register'!P15</f>
        <v>High</v>
      </c>
      <c r="D15" s="5" t="str">
        <f>'Risk Register'!K15</f>
        <v>Mitigate</v>
      </c>
      <c r="E15" s="5" t="str">
        <f>'Risk Register'!L15</f>
        <v>Strengthen workload isolation, access reviews, and monitoring of anomalous compute activity.</v>
      </c>
      <c r="F15" s="5">
        <f>'Risk Register'!Q15</f>
        <v>3</v>
      </c>
      <c r="G15" s="5">
        <f>'Risk Register'!R15</f>
        <v>4</v>
      </c>
      <c r="H15" s="5">
        <f>'Risk Register'!S15</f>
        <v>12</v>
      </c>
      <c r="I15" s="5" t="str">
        <f>'Risk Register'!T15</f>
        <v>High</v>
      </c>
      <c r="J15" s="5" t="str">
        <f>'Risk Register'!M15</f>
        <v>ML Engineering</v>
      </c>
      <c r="K15" s="5" t="str">
        <f>'Risk Register'!U15</f>
        <v>Open</v>
      </c>
    </row>
    <row r="16" spans="1:11" ht="28.8" x14ac:dyDescent="0.3">
      <c r="A16" s="5" t="str">
        <f>'Risk Register'!A16</f>
        <v>RSK-015</v>
      </c>
      <c r="B16" s="5" t="str">
        <f>'Risk Register'!D16</f>
        <v>Backup or Recovery Failure</v>
      </c>
      <c r="C16" s="5" t="str">
        <f>'Risk Register'!P16</f>
        <v>High</v>
      </c>
      <c r="D16" s="5" t="str">
        <f>'Risk Register'!K16</f>
        <v>Mitigate</v>
      </c>
      <c r="E16" s="5" t="str">
        <f>'Risk Register'!L16</f>
        <v>Perform recovery testing, verify backup coverage, and strengthen backup isolation and monitoring.</v>
      </c>
      <c r="F16" s="5">
        <f>'Risk Register'!Q16</f>
        <v>3</v>
      </c>
      <c r="G16" s="5">
        <f>'Risk Register'!R16</f>
        <v>5</v>
      </c>
      <c r="H16" s="5">
        <f>'Risk Register'!S16</f>
        <v>15</v>
      </c>
      <c r="I16" s="5" t="str">
        <f>'Risk Register'!T16</f>
        <v>High</v>
      </c>
      <c r="J16" s="5" t="str">
        <f>'Risk Register'!M16</f>
        <v>Cloud/DevOps</v>
      </c>
      <c r="K16" s="5" t="str">
        <f>'Risk Register'!U16</f>
        <v>In Progress</v>
      </c>
    </row>
    <row r="17" spans="1:11" ht="28.8" x14ac:dyDescent="0.3">
      <c r="A17" s="5" t="str">
        <f>'Risk Register'!A17</f>
        <v>RSK-016</v>
      </c>
      <c r="B17" s="5" t="str">
        <f>'Risk Register'!D17</f>
        <v>Vulnerability Detection or Tracking Gap</v>
      </c>
      <c r="C17" s="5" t="str">
        <f>'Risk Register'!P17</f>
        <v>High</v>
      </c>
      <c r="D17" s="5" t="str">
        <f>'Risk Register'!K17</f>
        <v>Mitigate</v>
      </c>
      <c r="E17" s="5" t="str">
        <f>'Risk Register'!L17</f>
        <v>Improve asset coverage, scan validation, remediation SLAs, and exception tracking.</v>
      </c>
      <c r="F17" s="5">
        <f>'Risk Register'!Q17</f>
        <v>3</v>
      </c>
      <c r="G17" s="5">
        <f>'Risk Register'!R17</f>
        <v>4</v>
      </c>
      <c r="H17" s="5">
        <f>'Risk Register'!S17</f>
        <v>12</v>
      </c>
      <c r="I17" s="5" t="str">
        <f>'Risk Register'!T17</f>
        <v>High</v>
      </c>
      <c r="J17" s="5" t="str">
        <f>'Risk Register'!M17</f>
        <v>Security Engineering</v>
      </c>
      <c r="K17" s="5" t="str">
        <f>'Risk Register'!U17</f>
        <v>In Progress</v>
      </c>
    </row>
    <row r="18" spans="1:11" ht="28.8" x14ac:dyDescent="0.3">
      <c r="A18" s="5" t="str">
        <f>'Risk Register'!A18</f>
        <v>RSK-017</v>
      </c>
      <c r="B18" s="5" t="str">
        <f>'Risk Register'!D18</f>
        <v>Ineffective Incident Response</v>
      </c>
      <c r="C18" s="5" t="str">
        <f>'Risk Register'!P18</f>
        <v>High</v>
      </c>
      <c r="D18" s="5" t="str">
        <f>'Risk Register'!K18</f>
        <v>Mitigate</v>
      </c>
      <c r="E18" s="5" t="str">
        <f>'Risk Register'!L18</f>
        <v>Update IR procedures, clarify roles, establish evidence-handling requirements, and conduct tabletop exercises.</v>
      </c>
      <c r="F18" s="5">
        <f>'Risk Register'!Q18</f>
        <v>3</v>
      </c>
      <c r="G18" s="5">
        <f>'Risk Register'!R18</f>
        <v>5</v>
      </c>
      <c r="H18" s="5">
        <f>'Risk Register'!S18</f>
        <v>15</v>
      </c>
      <c r="I18" s="5" t="str">
        <f>'Risk Register'!T18</f>
        <v>High</v>
      </c>
      <c r="J18" s="5" t="str">
        <f>'Risk Register'!M18</f>
        <v>Security Lead</v>
      </c>
      <c r="K18" s="5" t="str">
        <f>'Risk Register'!U18</f>
        <v>In Progress</v>
      </c>
    </row>
    <row r="19" spans="1:11" ht="28.8" x14ac:dyDescent="0.3">
      <c r="A19" s="5" t="str">
        <f>'Risk Register'!A19</f>
        <v>RSK-018</v>
      </c>
      <c r="B19" s="5" t="str">
        <f>'Risk Register'!D19</f>
        <v>Critical Vendor Security Failure</v>
      </c>
      <c r="C19" s="5" t="str">
        <f>'Risk Register'!P19</f>
        <v>High</v>
      </c>
      <c r="D19" s="5" t="str">
        <f>'Risk Register'!K19</f>
        <v>Transfer</v>
      </c>
      <c r="E19" s="5" t="str">
        <f>'Risk Register'!L19</f>
        <v>Tier vendors by risk, strengthen security requirements, and perform recurring assessments of critical suppliers.</v>
      </c>
      <c r="F19" s="5">
        <f>'Risk Register'!Q19</f>
        <v>3</v>
      </c>
      <c r="G19" s="5">
        <f>'Risk Register'!R19</f>
        <v>5</v>
      </c>
      <c r="H19" s="5">
        <f>'Risk Register'!S19</f>
        <v>15</v>
      </c>
      <c r="I19" s="5" t="str">
        <f>'Risk Register'!T19</f>
        <v>High</v>
      </c>
      <c r="J19" s="5" t="str">
        <f>'Risk Register'!M19</f>
        <v>Operations Manager</v>
      </c>
      <c r="K19" s="5" t="str">
        <f>'Risk Register'!U19</f>
        <v>In Progress</v>
      </c>
    </row>
    <row r="20" spans="1:11" ht="28.8" x14ac:dyDescent="0.3">
      <c r="A20" s="5" t="str">
        <f>'Risk Register'!A20</f>
        <v>RSK-019</v>
      </c>
      <c r="B20" s="5" t="str">
        <f>'Risk Register'!D20</f>
        <v>DNS or Domain Takeover</v>
      </c>
      <c r="C20" s="5" t="str">
        <f>'Risk Register'!P20</f>
        <v>High</v>
      </c>
      <c r="D20" s="5" t="str">
        <f>'Risk Register'!K20</f>
        <v>Mitigate</v>
      </c>
      <c r="E20" s="5" t="str">
        <f>'Risk Register'!L20</f>
        <v>Strengthen registrar security, privileged access controls, and domain-change monitoring.</v>
      </c>
      <c r="F20" s="5">
        <f>'Risk Register'!Q20</f>
        <v>3</v>
      </c>
      <c r="G20" s="5">
        <f>'Risk Register'!R20</f>
        <v>4</v>
      </c>
      <c r="H20" s="5">
        <f>'Risk Register'!S20</f>
        <v>12</v>
      </c>
      <c r="I20" s="5" t="str">
        <f>'Risk Register'!T20</f>
        <v>High</v>
      </c>
      <c r="J20" s="5" t="str">
        <f>'Risk Register'!M20</f>
        <v>Cloud/DevOps</v>
      </c>
      <c r="K20" s="5" t="str">
        <f>'Risk Register'!U20</f>
        <v>Closed</v>
      </c>
    </row>
    <row r="21" spans="1:11" ht="28.8" x14ac:dyDescent="0.3">
      <c r="A21" s="5" t="str">
        <f>'Risk Register'!A21</f>
        <v>RSK-020</v>
      </c>
      <c r="B21" s="5" t="str">
        <f>'Risk Register'!D21</f>
        <v>Governance and Documentation Gap</v>
      </c>
      <c r="C21" s="5" t="str">
        <f>'Risk Register'!P21</f>
        <v>High</v>
      </c>
      <c r="D21" s="5" t="str">
        <f>'Risk Register'!K21</f>
        <v>Accept</v>
      </c>
      <c r="E21" s="5" t="str">
        <f>'Risk Register'!L21</f>
        <v>Establish formal document ownership, approval, review cycles, and linkage between risks, controls, and policies.</v>
      </c>
      <c r="F21" s="5">
        <f>'Risk Register'!Q21</f>
        <v>3</v>
      </c>
      <c r="G21" s="5">
        <f>'Risk Register'!R21</f>
        <v>4</v>
      </c>
      <c r="H21" s="5">
        <f>'Risk Register'!S21</f>
        <v>12</v>
      </c>
      <c r="I21" s="5" t="str">
        <f>'Risk Register'!T21</f>
        <v>High</v>
      </c>
      <c r="J21" s="5" t="str">
        <f>'Risk Register'!M21</f>
        <v>GRC / Security Lead</v>
      </c>
      <c r="K21" s="5" t="str">
        <f>'Risk Register'!U21</f>
        <v>Accepted</v>
      </c>
    </row>
  </sheetData>
  <autoFilter ref="A1:K21" xr:uid="{00000000-0009-0000-0000-000002000000}"/>
  <conditionalFormatting sqref="C1:C1048576">
    <cfRule type="cellIs" dxfId="14" priority="8" operator="equal">
      <formula>"Critical"</formula>
    </cfRule>
    <cfRule type="cellIs" dxfId="13" priority="7" operator="equal">
      <formula>"High"</formula>
    </cfRule>
    <cfRule type="cellIs" dxfId="12" priority="6" operator="equal">
      <formula>"Medium"</formula>
    </cfRule>
    <cfRule type="cellIs" dxfId="11" priority="5" operator="equal">
      <formula>"Low"</formula>
    </cfRule>
  </conditionalFormatting>
  <conditionalFormatting sqref="I1:I1048576">
    <cfRule type="cellIs" dxfId="0" priority="4" operator="equal">
      <formula>"Critical"</formula>
    </cfRule>
    <cfRule type="cellIs" dxfId="1" priority="3" operator="equal">
      <formula>"High"</formula>
    </cfRule>
    <cfRule type="cellIs" dxfId="2" priority="2" operator="equal">
      <formula>"Medium"</formula>
    </cfRule>
    <cfRule type="cellIs" dxfId="3" priority="1" operator="equal">
      <formula>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Treatment Plan</vt:lpstr>
      <vt:lpstr>Residual 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 - Yara Hkaimah Abou Fakher</cp:lastModifiedBy>
  <dcterms:created xsi:type="dcterms:W3CDTF">2026-09-22T00:41:54Z</dcterms:created>
  <dcterms:modified xsi:type="dcterms:W3CDTF">2026-09-22T01:28:11Z</dcterms:modified>
</cp:coreProperties>
</file>