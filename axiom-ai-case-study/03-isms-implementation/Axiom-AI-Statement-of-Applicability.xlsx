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pplicabilit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licy Mapping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'Statement of Applicability'!$A$1:$K$94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4" customWidth="1" min="4" max="4"/>
    <col width="55" customWidth="1" min="5" max="5"/>
    <col width="22" customWidth="1" min="6" max="6"/>
    <col width="30" customWidth="1" min="7" max="7"/>
    <col width="28" customWidth="1" min="8" max="8"/>
    <col width="22" customWidth="1" min="9" max="9"/>
    <col width="30" customWidth="1" min="10" max="10"/>
    <col width="30" customWidth="1" min="11" max="11"/>
  </cols>
  <sheetData>
    <row r="1">
      <c r="A1" s="1" t="inlineStr">
        <is>
          <t>Domain</t>
        </is>
      </c>
      <c r="B1" s="1" t="inlineStr">
        <is>
          <t>Control ID</t>
        </is>
      </c>
      <c r="C1" s="1" t="inlineStr">
        <is>
          <t>Control Name</t>
        </is>
      </c>
      <c r="D1" s="1" t="inlineStr">
        <is>
          <t>Applicable?</t>
        </is>
      </c>
      <c r="E1" s="1" t="inlineStr">
        <is>
          <t>Justification</t>
        </is>
      </c>
      <c r="F1" s="1" t="inlineStr">
        <is>
          <t>Implementation Status</t>
        </is>
      </c>
      <c r="G1" s="1" t="inlineStr">
        <is>
          <t>Related Policy</t>
        </is>
      </c>
      <c r="H1" s="1" t="inlineStr">
        <is>
          <t>Related Risk / Finding</t>
        </is>
      </c>
      <c r="I1" s="1" t="inlineStr">
        <is>
          <t>Control Owner</t>
        </is>
      </c>
      <c r="J1" s="1" t="inlineStr">
        <is>
          <t>Evidence / Reference</t>
        </is>
      </c>
      <c r="K1" s="1" t="inlineStr">
        <is>
          <t>Notes</t>
        </is>
      </c>
    </row>
    <row r="2">
      <c r="A2" s="2" t="inlineStr">
        <is>
          <t>A.5</t>
        </is>
      </c>
      <c r="B2" s="2" t="inlineStr">
        <is>
          <t>5.1</t>
        </is>
      </c>
      <c r="C2" s="2" t="inlineStr">
        <is>
          <t>Policies for information security</t>
        </is>
      </c>
      <c r="D2" s="2" t="inlineStr">
        <is>
          <t>Yes</t>
        </is>
      </c>
      <c r="E2" s="2" t="inlineStr">
        <is>
          <t>Information Security Policy establishes the ISMS security policy framework.</t>
        </is>
      </c>
      <c r="F2" s="2" t="inlineStr">
        <is>
          <t>Implemented</t>
        </is>
      </c>
      <c r="G2" s="2" t="inlineStr">
        <is>
          <t>Information Security Policy</t>
        </is>
      </c>
      <c r="H2" s="2" t="inlineStr"/>
      <c r="I2" s="2" t="inlineStr"/>
      <c r="J2" s="2" t="inlineStr"/>
      <c r="K2" s="2" t="inlineStr"/>
    </row>
    <row r="3">
      <c r="A3" s="2" t="inlineStr">
        <is>
          <t>A.5</t>
        </is>
      </c>
      <c r="B3" s="2" t="inlineStr">
        <is>
          <t>5.2</t>
        </is>
      </c>
      <c r="C3" s="2" t="inlineStr">
        <is>
          <t>Information security roles and responsibilities</t>
        </is>
      </c>
      <c r="D3" s="2" t="inlineStr">
        <is>
          <t>Yes</t>
        </is>
      </c>
      <c r="E3" s="2" t="inlineStr">
        <is>
          <t>Roles and responsibilities are defined for management, ISMS, GRC, technical, business, and personnel functions.</t>
        </is>
      </c>
      <c r="F3" s="2" t="inlineStr">
        <is>
          <t>Implemented</t>
        </is>
      </c>
      <c r="G3" s="2" t="inlineStr">
        <is>
          <t>ISMS Roles &amp; Responsibilities</t>
        </is>
      </c>
      <c r="H3" s="2" t="inlineStr"/>
      <c r="I3" s="2" t="inlineStr"/>
      <c r="J3" s="2" t="inlineStr"/>
      <c r="K3" s="2" t="inlineStr"/>
    </row>
    <row r="4">
      <c r="A4" s="2" t="inlineStr">
        <is>
          <t>A.5</t>
        </is>
      </c>
      <c r="B4" s="2" t="inlineStr">
        <is>
          <t>5.3</t>
        </is>
      </c>
      <c r="C4" s="2" t="inlineStr">
        <is>
          <t>Segregation of duties</t>
        </is>
      </c>
      <c r="D4" s="2" t="inlineStr">
        <is>
          <t>Yes</t>
        </is>
      </c>
      <c r="E4" s="2" t="inlineStr">
        <is>
          <t>Separation of duties is addressed for access, risk acceptance, control operation, and review.</t>
        </is>
      </c>
      <c r="F4" s="2" t="inlineStr">
        <is>
          <t>Partially Implemented</t>
        </is>
      </c>
      <c r="G4" s="2" t="inlineStr">
        <is>
          <t>ISMS Roles &amp; Responsibilities</t>
        </is>
      </c>
      <c r="H4" s="2" t="inlineStr"/>
      <c r="I4" s="2" t="inlineStr"/>
      <c r="J4" s="2" t="inlineStr"/>
      <c r="K4" s="2" t="inlineStr"/>
    </row>
    <row r="5">
      <c r="A5" s="2" t="inlineStr">
        <is>
          <t>A.5</t>
        </is>
      </c>
      <c r="B5" s="2" t="inlineStr">
        <is>
          <t>5.4</t>
        </is>
      </c>
      <c r="C5" s="2" t="inlineStr">
        <is>
          <t>Management responsibilities</t>
        </is>
      </c>
      <c r="D5" s="2" t="inlineStr">
        <is>
          <t>Yes</t>
        </is>
      </c>
      <c r="E5" s="2" t="inlineStr">
        <is>
          <t>Management responsibilities for information security oversight and resources are defined.</t>
        </is>
      </c>
      <c r="F5" s="2" t="inlineStr">
        <is>
          <t>Implemented</t>
        </is>
      </c>
      <c r="G5" s="2" t="inlineStr">
        <is>
          <t>ISMS Roles &amp; Responsibilities</t>
        </is>
      </c>
      <c r="H5" s="2" t="inlineStr"/>
      <c r="I5" s="2" t="inlineStr"/>
      <c r="J5" s="2" t="inlineStr"/>
      <c r="K5" s="2" t="inlineStr"/>
    </row>
    <row r="6">
      <c r="A6" s="2" t="inlineStr">
        <is>
          <t>A.5</t>
        </is>
      </c>
      <c r="B6" s="2" t="inlineStr">
        <is>
          <t>5.5</t>
        </is>
      </c>
      <c r="C6" s="2" t="inlineStr">
        <is>
          <t>Contact with authorities</t>
        </is>
      </c>
      <c r="D6" s="2" t="inlineStr">
        <is>
          <t>Yes</t>
        </is>
      </c>
      <c r="E6" s="2" t="inlineStr">
        <is>
          <t>Relevant authority contacts may be required for legal, regulatory, or incident matters.</t>
        </is>
      </c>
      <c r="F6" s="2" t="inlineStr">
        <is>
          <t>Planned</t>
        </is>
      </c>
      <c r="G6" s="2" t="inlineStr">
        <is>
          <t>Information Security Policy</t>
        </is>
      </c>
      <c r="H6" s="2" t="inlineStr"/>
      <c r="I6" s="2" t="inlineStr"/>
      <c r="J6" s="2" t="inlineStr"/>
      <c r="K6" s="2" t="inlineStr"/>
    </row>
    <row r="7">
      <c r="A7" s="2" t="inlineStr">
        <is>
          <t>A.5</t>
        </is>
      </c>
      <c r="B7" s="2" t="inlineStr">
        <is>
          <t>5.6</t>
        </is>
      </c>
      <c r="C7" s="2" t="inlineStr">
        <is>
          <t>Contact with special interest groups</t>
        </is>
      </c>
      <c r="D7" s="2" t="inlineStr">
        <is>
          <t>Yes</t>
        </is>
      </c>
      <c r="E7" s="2" t="inlineStr">
        <is>
          <t>Security and industry information-sharing relationships may support threat awareness and good practice.</t>
        </is>
      </c>
      <c r="F7" s="2" t="inlineStr">
        <is>
          <t>Planned</t>
        </is>
      </c>
      <c r="G7" s="2" t="inlineStr">
        <is>
          <t>Information Security Policy</t>
        </is>
      </c>
      <c r="H7" s="2" t="inlineStr"/>
      <c r="I7" s="2" t="inlineStr"/>
      <c r="J7" s="2" t="inlineStr"/>
      <c r="K7" s="2" t="inlineStr"/>
    </row>
    <row r="8">
      <c r="A8" s="2" t="inlineStr">
        <is>
          <t>A.5</t>
        </is>
      </c>
      <c r="B8" s="2" t="inlineStr">
        <is>
          <t>5.7</t>
        </is>
      </c>
      <c r="C8" s="2" t="inlineStr">
        <is>
          <t>Threat intelligence</t>
        </is>
      </c>
      <c r="D8" s="2" t="inlineStr">
        <is>
          <t>Yes</t>
        </is>
      </c>
      <c r="E8" s="2" t="inlineStr">
        <is>
          <t>Threat intelligence supports the risk and incident-management program for a cloud SaaS provider.</t>
        </is>
      </c>
      <c r="F8" s="2" t="inlineStr">
        <is>
          <t>Partially Implemented</t>
        </is>
      </c>
      <c r="G8" s="2" t="inlineStr">
        <is>
          <t>Information Security Policy</t>
        </is>
      </c>
      <c r="H8" s="2" t="inlineStr"/>
      <c r="I8" s="2" t="inlineStr"/>
      <c r="J8" s="2" t="inlineStr"/>
      <c r="K8" s="2" t="inlineStr"/>
    </row>
    <row r="9">
      <c r="A9" s="2" t="inlineStr">
        <is>
          <t>A.5</t>
        </is>
      </c>
      <c r="B9" s="2" t="inlineStr">
        <is>
          <t>5.8</t>
        </is>
      </c>
      <c r="C9" s="2" t="inlineStr">
        <is>
          <t>Information security in project management</t>
        </is>
      </c>
      <c r="D9" s="2" t="inlineStr">
        <is>
          <t>Yes</t>
        </is>
      </c>
      <c r="E9" s="2" t="inlineStr">
        <is>
          <t>Security requirements should be incorporated into projects and technology changes.</t>
        </is>
      </c>
      <c r="F9" s="2" t="inlineStr">
        <is>
          <t>Partially Implemented</t>
        </is>
      </c>
      <c r="G9" s="2" t="inlineStr">
        <is>
          <t>Information Security Policy</t>
        </is>
      </c>
      <c r="H9" s="2" t="inlineStr"/>
      <c r="I9" s="2" t="inlineStr"/>
      <c r="J9" s="2" t="inlineStr"/>
      <c r="K9" s="2" t="inlineStr"/>
    </row>
    <row r="10">
      <c r="A10" s="2" t="inlineStr">
        <is>
          <t>A.5</t>
        </is>
      </c>
      <c r="B10" s="2" t="inlineStr">
        <is>
          <t>5.9</t>
        </is>
      </c>
      <c r="C10" s="2" t="inlineStr">
        <is>
          <t>Inventory of information and other associated assets</t>
        </is>
      </c>
      <c r="D10" s="2" t="inlineStr">
        <is>
          <t>Yes</t>
        </is>
      </c>
      <c r="E10" s="2" t="inlineStr">
        <is>
          <t>An Axiom asset inventory has been established as part of the risk assessment.</t>
        </is>
      </c>
      <c r="F10" s="2" t="inlineStr">
        <is>
          <t>Implemented</t>
        </is>
      </c>
      <c r="G10" s="2" t="inlineStr">
        <is>
          <t>Asset Management Policy</t>
        </is>
      </c>
      <c r="H10" s="2" t="inlineStr"/>
      <c r="I10" s="2" t="inlineStr"/>
      <c r="J10" s="2" t="inlineStr"/>
      <c r="K10" s="2" t="inlineStr"/>
    </row>
    <row r="11">
      <c r="A11" s="2" t="inlineStr">
        <is>
          <t>A.5</t>
        </is>
      </c>
      <c r="B11" s="2" t="inlineStr">
        <is>
          <t>5.10</t>
        </is>
      </c>
      <c r="C11" s="2" t="inlineStr">
        <is>
          <t>Acceptable use of information and other associated assets</t>
        </is>
      </c>
      <c r="D11" s="2" t="inlineStr">
        <is>
          <t>Yes</t>
        </is>
      </c>
      <c r="E11" s="2" t="inlineStr">
        <is>
          <t>Personnel need rules for appropriate use of company information and assets.</t>
        </is>
      </c>
      <c r="F11" s="2" t="inlineStr">
        <is>
          <t>Planned</t>
        </is>
      </c>
      <c r="G11" s="2" t="inlineStr">
        <is>
          <t>Asset Management Policy</t>
        </is>
      </c>
      <c r="H11" s="2" t="inlineStr"/>
      <c r="I11" s="2" t="inlineStr"/>
      <c r="J11" s="2" t="inlineStr"/>
      <c r="K11" s="2" t="inlineStr"/>
    </row>
    <row r="12">
      <c r="A12" s="2" t="inlineStr">
        <is>
          <t>A.5</t>
        </is>
      </c>
      <c r="B12" s="2" t="inlineStr">
        <is>
          <t>5.11</t>
        </is>
      </c>
      <c r="C12" s="2" t="inlineStr">
        <is>
          <t>Return of assets</t>
        </is>
      </c>
      <c r="D12" s="2" t="inlineStr">
        <is>
          <t>Yes</t>
        </is>
      </c>
      <c r="E12" s="2" t="inlineStr">
        <is>
          <t>Assets should be returned or access removed when personnel or relationships end.</t>
        </is>
      </c>
      <c r="F12" s="2" t="inlineStr">
        <is>
          <t>Planned</t>
        </is>
      </c>
      <c r="G12" s="2" t="inlineStr">
        <is>
          <t>Asset Management Policy</t>
        </is>
      </c>
      <c r="H12" s="2" t="inlineStr"/>
      <c r="I12" s="2" t="inlineStr"/>
      <c r="J12" s="2" t="inlineStr"/>
      <c r="K12" s="2" t="inlineStr"/>
    </row>
    <row r="13">
      <c r="A13" s="2" t="inlineStr">
        <is>
          <t>A.5</t>
        </is>
      </c>
      <c r="B13" s="2" t="inlineStr">
        <is>
          <t>5.12</t>
        </is>
      </c>
      <c r="C13" s="2" t="inlineStr">
        <is>
          <t>Classification of information</t>
        </is>
      </c>
      <c r="D13" s="2" t="inlineStr">
        <is>
          <t>Yes</t>
        </is>
      </c>
      <c r="E13" s="2" t="inlineStr">
        <is>
          <t>A classification approach is needed to protect Axiom information according to sensitivity.</t>
        </is>
      </c>
      <c r="F13" s="2" t="inlineStr">
        <is>
          <t>Partially Implemented</t>
        </is>
      </c>
      <c r="G13" s="2" t="inlineStr">
        <is>
          <t>Information Security Policy</t>
        </is>
      </c>
      <c r="H13" s="2" t="inlineStr"/>
      <c r="I13" s="2" t="inlineStr"/>
      <c r="J13" s="2" t="inlineStr"/>
      <c r="K13" s="2" t="inlineStr"/>
    </row>
    <row r="14">
      <c r="A14" s="2" t="inlineStr">
        <is>
          <t>A.5</t>
        </is>
      </c>
      <c r="B14" s="2" t="inlineStr">
        <is>
          <t>5.13</t>
        </is>
      </c>
      <c r="C14" s="2" t="inlineStr">
        <is>
          <t>Labelling of information</t>
        </is>
      </c>
      <c r="D14" s="2" t="inlineStr">
        <is>
          <t>Yes</t>
        </is>
      </c>
      <c r="E14" s="2" t="inlineStr">
        <is>
          <t>Classification labels support handling of internal and sensitive information.</t>
        </is>
      </c>
      <c r="F14" s="2" t="inlineStr">
        <is>
          <t>Planned</t>
        </is>
      </c>
      <c r="G14" s="2" t="inlineStr">
        <is>
          <t>Information Security Policy</t>
        </is>
      </c>
      <c r="H14" s="2" t="inlineStr"/>
      <c r="I14" s="2" t="inlineStr"/>
      <c r="J14" s="2" t="inlineStr"/>
      <c r="K14" s="2" t="inlineStr"/>
    </row>
    <row r="15">
      <c r="A15" s="2" t="inlineStr">
        <is>
          <t>A.5</t>
        </is>
      </c>
      <c r="B15" s="2" t="inlineStr">
        <is>
          <t>5.14</t>
        </is>
      </c>
      <c r="C15" s="2" t="inlineStr">
        <is>
          <t>Information transfer</t>
        </is>
      </c>
      <c r="D15" s="2" t="inlineStr">
        <is>
          <t>Yes</t>
        </is>
      </c>
      <c r="E15" s="2" t="inlineStr">
        <is>
          <t>Customer, business, and technical information may be transferred internally and externally.</t>
        </is>
      </c>
      <c r="F15" s="2" t="inlineStr">
        <is>
          <t>Planned</t>
        </is>
      </c>
      <c r="G15" s="2" t="inlineStr">
        <is>
          <t>Information Security Policy</t>
        </is>
      </c>
      <c r="H15" s="2" t="inlineStr"/>
      <c r="I15" s="2" t="inlineStr"/>
      <c r="J15" s="2" t="inlineStr"/>
      <c r="K15" s="2" t="inlineStr"/>
    </row>
    <row r="16">
      <c r="A16" s="2" t="inlineStr">
        <is>
          <t>A.5</t>
        </is>
      </c>
      <c r="B16" s="2" t="inlineStr">
        <is>
          <t>5.15</t>
        </is>
      </c>
      <c r="C16" s="2" t="inlineStr">
        <is>
          <t>Access control</t>
        </is>
      </c>
      <c r="D16" s="2" t="inlineStr">
        <is>
          <t>Yes</t>
        </is>
      </c>
      <c r="E16" s="2" t="inlineStr">
        <is>
          <t>Access control is fundamental to the SaaS and corporate environment.</t>
        </is>
      </c>
      <c r="F16" s="2" t="inlineStr">
        <is>
          <t>Implemented</t>
        </is>
      </c>
      <c r="G16" s="2" t="inlineStr">
        <is>
          <t>Access Control Policy</t>
        </is>
      </c>
      <c r="H16" s="2" t="inlineStr"/>
      <c r="I16" s="2" t="inlineStr"/>
      <c r="J16" s="2" t="inlineStr"/>
      <c r="K16" s="2" t="inlineStr"/>
    </row>
    <row r="17">
      <c r="A17" s="2" t="inlineStr">
        <is>
          <t>A.5</t>
        </is>
      </c>
      <c r="B17" s="2" t="inlineStr">
        <is>
          <t>5.16</t>
        </is>
      </c>
      <c r="C17" s="2" t="inlineStr">
        <is>
          <t>Identity management</t>
        </is>
      </c>
      <c r="D17" s="2" t="inlineStr">
        <is>
          <t>Yes</t>
        </is>
      </c>
      <c r="E17" s="2" t="inlineStr">
        <is>
          <t>Identity lifecycle management is required for personnel and system access.</t>
        </is>
      </c>
      <c r="F17" s="2" t="inlineStr">
        <is>
          <t>Partially Implemented</t>
        </is>
      </c>
      <c r="G17" s="2" t="inlineStr">
        <is>
          <t>Access Control Policy</t>
        </is>
      </c>
      <c r="H17" s="2" t="inlineStr"/>
      <c r="I17" s="2" t="inlineStr"/>
      <c r="J17" s="2" t="inlineStr"/>
      <c r="K17" s="2" t="inlineStr"/>
    </row>
    <row r="18">
      <c r="A18" s="2" t="inlineStr">
        <is>
          <t>A.5</t>
        </is>
      </c>
      <c r="B18" s="2" t="inlineStr">
        <is>
          <t>5.17</t>
        </is>
      </c>
      <c r="C18" s="2" t="inlineStr">
        <is>
          <t>Authentication information</t>
        </is>
      </c>
      <c r="D18" s="2" t="inlineStr">
        <is>
          <t>Yes</t>
        </is>
      </c>
      <c r="E18" s="2" t="inlineStr">
        <is>
          <t>Credentials and authentication information require protection.</t>
        </is>
      </c>
      <c r="F18" s="2" t="inlineStr">
        <is>
          <t>Partially Implemented</t>
        </is>
      </c>
      <c r="G18" s="2" t="inlineStr">
        <is>
          <t>Access Control Policy</t>
        </is>
      </c>
      <c r="H18" s="2" t="inlineStr"/>
      <c r="I18" s="2" t="inlineStr"/>
      <c r="J18" s="2" t="inlineStr"/>
      <c r="K18" s="2" t="inlineStr"/>
    </row>
    <row r="19">
      <c r="A19" s="2" t="inlineStr">
        <is>
          <t>A.5</t>
        </is>
      </c>
      <c r="B19" s="2" t="inlineStr">
        <is>
          <t>5.18</t>
        </is>
      </c>
      <c r="C19" s="2" t="inlineStr">
        <is>
          <t>Access rights</t>
        </is>
      </c>
      <c r="D19" s="2" t="inlineStr">
        <is>
          <t>Yes</t>
        </is>
      </c>
      <c r="E19" s="2" t="inlineStr">
        <is>
          <t>Access rights require authorization, review, modification, and removal.</t>
        </is>
      </c>
      <c r="F19" s="2" t="inlineStr">
        <is>
          <t>Partially Implemented</t>
        </is>
      </c>
      <c r="G19" s="2" t="inlineStr">
        <is>
          <t>Access Control Policy</t>
        </is>
      </c>
      <c r="H19" s="2" t="inlineStr"/>
      <c r="I19" s="2" t="inlineStr"/>
      <c r="J19" s="2" t="inlineStr"/>
      <c r="K19" s="2" t="inlineStr"/>
    </row>
    <row r="20">
      <c r="A20" s="2" t="inlineStr">
        <is>
          <t>A.5</t>
        </is>
      </c>
      <c r="B20" s="2" t="inlineStr">
        <is>
          <t>5.19</t>
        </is>
      </c>
      <c r="C20" s="2" t="inlineStr">
        <is>
          <t>Information security in supplier relationships</t>
        </is>
      </c>
      <c r="D20" s="2" t="inlineStr">
        <is>
          <t>Yes</t>
        </is>
      </c>
      <c r="E20" s="2" t="inlineStr">
        <is>
          <t>Axiom relies on cloud and technology suppliers.</t>
        </is>
      </c>
      <c r="F20" s="2" t="inlineStr">
        <is>
          <t>Implemented</t>
        </is>
      </c>
      <c r="G20" s="2" t="inlineStr">
        <is>
          <t>Third-Party Security Policy</t>
        </is>
      </c>
      <c r="H20" s="2" t="inlineStr"/>
      <c r="I20" s="2" t="inlineStr"/>
      <c r="J20" s="2" t="inlineStr"/>
      <c r="K20" s="2" t="inlineStr"/>
    </row>
    <row r="21">
      <c r="A21" s="2" t="inlineStr">
        <is>
          <t>A.5</t>
        </is>
      </c>
      <c r="B21" s="2" t="inlineStr">
        <is>
          <t>5.20</t>
        </is>
      </c>
      <c r="C21" s="2" t="inlineStr">
        <is>
          <t>Addressing information security within supplier agreements</t>
        </is>
      </c>
      <c r="D21" s="2" t="inlineStr">
        <is>
          <t>Yes</t>
        </is>
      </c>
      <c r="E21" s="2" t="inlineStr">
        <is>
          <t>Security requirements should be included in relevant supplier agreements.</t>
        </is>
      </c>
      <c r="F21" s="2" t="inlineStr">
        <is>
          <t>Partially Implemented</t>
        </is>
      </c>
      <c r="G21" s="2" t="inlineStr">
        <is>
          <t>Third-Party Security Policy</t>
        </is>
      </c>
      <c r="H21" s="2" t="inlineStr"/>
      <c r="I21" s="2" t="inlineStr"/>
      <c r="J21" s="2" t="inlineStr"/>
      <c r="K21" s="2" t="inlineStr"/>
    </row>
    <row r="22">
      <c r="A22" s="2" t="inlineStr">
        <is>
          <t>A.5</t>
        </is>
      </c>
      <c r="B22" s="2" t="inlineStr">
        <is>
          <t>5.21</t>
        </is>
      </c>
      <c r="C22" s="2" t="inlineStr">
        <is>
          <t>Managing information security in the ICT supply chain</t>
        </is>
      </c>
      <c r="D22" s="2" t="inlineStr">
        <is>
          <t>Yes</t>
        </is>
      </c>
      <c r="E22" s="2" t="inlineStr">
        <is>
          <t>ICT supply-chain risks are relevant to a cloud SaaS business.</t>
        </is>
      </c>
      <c r="F22" s="2" t="inlineStr">
        <is>
          <t>Partially Implemented</t>
        </is>
      </c>
      <c r="G22" s="2" t="inlineStr">
        <is>
          <t>Third-Party Security Policy</t>
        </is>
      </c>
      <c r="H22" s="2" t="inlineStr"/>
      <c r="I22" s="2" t="inlineStr"/>
      <c r="J22" s="2" t="inlineStr"/>
      <c r="K22" s="2" t="inlineStr"/>
    </row>
    <row r="23">
      <c r="A23" s="2" t="inlineStr">
        <is>
          <t>A.5</t>
        </is>
      </c>
      <c r="B23" s="2" t="inlineStr">
        <is>
          <t>5.22</t>
        </is>
      </c>
      <c r="C23" s="2" t="inlineStr">
        <is>
          <t>Monitoring, review and change management of supplier services</t>
        </is>
      </c>
      <c r="D23" s="2" t="inlineStr">
        <is>
          <t>Yes</t>
        </is>
      </c>
      <c r="E23" s="2" t="inlineStr">
        <is>
          <t>Critical suppliers require ongoing review and change oversight.</t>
        </is>
      </c>
      <c r="F23" s="2" t="inlineStr">
        <is>
          <t>Planned</t>
        </is>
      </c>
      <c r="G23" s="2" t="inlineStr">
        <is>
          <t>Third-Party Security Policy</t>
        </is>
      </c>
      <c r="H23" s="2" t="inlineStr"/>
      <c r="I23" s="2" t="inlineStr"/>
      <c r="J23" s="2" t="inlineStr"/>
      <c r="K23" s="2" t="inlineStr"/>
    </row>
    <row r="24">
      <c r="A24" s="2" t="inlineStr">
        <is>
          <t>A.5</t>
        </is>
      </c>
      <c r="B24" s="2" t="inlineStr">
        <is>
          <t>5.23</t>
        </is>
      </c>
      <c r="C24" s="2" t="inlineStr">
        <is>
          <t>Information security for use of cloud services</t>
        </is>
      </c>
      <c r="D24" s="2" t="inlineStr">
        <is>
          <t>Yes</t>
        </is>
      </c>
      <c r="E24" s="2" t="inlineStr">
        <is>
          <t>Axiom uses AWS/cloud services within its ISMS scope.</t>
        </is>
      </c>
      <c r="F24" s="2" t="inlineStr">
        <is>
          <t>Partially Implemented</t>
        </is>
      </c>
      <c r="G24" s="2" t="inlineStr">
        <is>
          <t>Third-Party Security Policy</t>
        </is>
      </c>
      <c r="H24" s="2" t="inlineStr"/>
      <c r="I24" s="2" t="inlineStr"/>
      <c r="J24" s="2" t="inlineStr"/>
      <c r="K24" s="2" t="inlineStr"/>
    </row>
    <row r="25">
      <c r="A25" s="2" t="inlineStr">
        <is>
          <t>A.5</t>
        </is>
      </c>
      <c r="B25" s="2" t="inlineStr">
        <is>
          <t>5.24</t>
        </is>
      </c>
      <c r="C25" s="2" t="inlineStr">
        <is>
          <t>Information security incident management planning and preparation</t>
        </is>
      </c>
      <c r="D25" s="2" t="inlineStr">
        <is>
          <t>Yes</t>
        </is>
      </c>
      <c r="E25" s="2" t="inlineStr">
        <is>
          <t>Incident response planning is required for the SaaS environment.</t>
        </is>
      </c>
      <c r="F25" s="2" t="inlineStr">
        <is>
          <t>Implemented</t>
        </is>
      </c>
      <c r="G25" s="2" t="inlineStr">
        <is>
          <t>Incident Response Policy</t>
        </is>
      </c>
      <c r="H25" s="2" t="inlineStr"/>
      <c r="I25" s="2" t="inlineStr"/>
      <c r="J25" s="2" t="inlineStr"/>
      <c r="K25" s="2" t="inlineStr"/>
    </row>
    <row r="26">
      <c r="A26" s="2" t="inlineStr">
        <is>
          <t>A.5</t>
        </is>
      </c>
      <c r="B26" s="2" t="inlineStr">
        <is>
          <t>5.25</t>
        </is>
      </c>
      <c r="C26" s="2" t="inlineStr">
        <is>
          <t>Assessment and decision on information security events</t>
        </is>
      </c>
      <c r="D26" s="2" t="inlineStr">
        <is>
          <t>Yes</t>
        </is>
      </c>
      <c r="E26" s="2" t="inlineStr">
        <is>
          <t>Events must be assessed to determine whether they constitute incidents.</t>
        </is>
      </c>
      <c r="F26" s="2" t="inlineStr">
        <is>
          <t>Implemented</t>
        </is>
      </c>
      <c r="G26" s="2" t="inlineStr">
        <is>
          <t>Incident Response Policy</t>
        </is>
      </c>
      <c r="H26" s="2" t="inlineStr"/>
      <c r="I26" s="2" t="inlineStr"/>
      <c r="J26" s="2" t="inlineStr"/>
      <c r="K26" s="2" t="inlineStr"/>
    </row>
    <row r="27">
      <c r="A27" s="2" t="inlineStr">
        <is>
          <t>A.5</t>
        </is>
      </c>
      <c r="B27" s="2" t="inlineStr">
        <is>
          <t>5.26</t>
        </is>
      </c>
      <c r="C27" s="2" t="inlineStr">
        <is>
          <t>Response to information security incidents</t>
        </is>
      </c>
      <c r="D27" s="2" t="inlineStr">
        <is>
          <t>Yes</t>
        </is>
      </c>
      <c r="E27" s="2" t="inlineStr">
        <is>
          <t>Incident response responsibilities and actions are defined.</t>
        </is>
      </c>
      <c r="F27" s="2" t="inlineStr">
        <is>
          <t>Implemented</t>
        </is>
      </c>
      <c r="G27" s="2" t="inlineStr">
        <is>
          <t>Incident Response Policy</t>
        </is>
      </c>
      <c r="H27" s="2" t="inlineStr"/>
      <c r="I27" s="2" t="inlineStr"/>
      <c r="J27" s="2" t="inlineStr"/>
      <c r="K27" s="2" t="inlineStr"/>
    </row>
    <row r="28">
      <c r="A28" s="2" t="inlineStr">
        <is>
          <t>A.5</t>
        </is>
      </c>
      <c r="B28" s="2" t="inlineStr">
        <is>
          <t>5.27</t>
        </is>
      </c>
      <c r="C28" s="2" t="inlineStr">
        <is>
          <t>Learning from information security incidents</t>
        </is>
      </c>
      <c r="D28" s="2" t="inlineStr">
        <is>
          <t>Yes</t>
        </is>
      </c>
      <c r="E28" s="2" t="inlineStr">
        <is>
          <t>Post-incident review and corrective action support continual improvement.</t>
        </is>
      </c>
      <c r="F28" s="2" t="inlineStr">
        <is>
          <t>Partially Implemented</t>
        </is>
      </c>
      <c r="G28" s="2" t="inlineStr">
        <is>
          <t>Incident Response Policy</t>
        </is>
      </c>
      <c r="H28" s="2" t="inlineStr"/>
      <c r="I28" s="2" t="inlineStr"/>
      <c r="J28" s="2" t="inlineStr"/>
      <c r="K28" s="2" t="inlineStr"/>
    </row>
    <row r="29">
      <c r="A29" s="2" t="inlineStr">
        <is>
          <t>A.5</t>
        </is>
      </c>
      <c r="B29" s="2" t="inlineStr">
        <is>
          <t>5.28</t>
        </is>
      </c>
      <c r="C29" s="2" t="inlineStr">
        <is>
          <t>Collection of evidence</t>
        </is>
      </c>
      <c r="D29" s="2" t="inlineStr">
        <is>
          <t>Yes</t>
        </is>
      </c>
      <c r="E29" s="2" t="inlineStr">
        <is>
          <t>Evidence preservation may be necessary during security investigations.</t>
        </is>
      </c>
      <c r="F29" s="2" t="inlineStr">
        <is>
          <t>Planned</t>
        </is>
      </c>
      <c r="G29" s="2" t="inlineStr">
        <is>
          <t>Incident Response Policy</t>
        </is>
      </c>
      <c r="H29" s="2" t="inlineStr"/>
      <c r="I29" s="2" t="inlineStr"/>
      <c r="J29" s="2" t="inlineStr"/>
      <c r="K29" s="2" t="inlineStr"/>
    </row>
    <row r="30">
      <c r="A30" s="2" t="inlineStr">
        <is>
          <t>A.5</t>
        </is>
      </c>
      <c r="B30" s="2" t="inlineStr">
        <is>
          <t>5.29</t>
        </is>
      </c>
      <c r="C30" s="2" t="inlineStr">
        <is>
          <t>Information security during disruption</t>
        </is>
      </c>
      <c r="D30" s="2" t="inlineStr">
        <is>
          <t>Yes</t>
        </is>
      </c>
      <c r="E30" s="2" t="inlineStr">
        <is>
          <t>Security requirements must remain addressed during business disruption.</t>
        </is>
      </c>
      <c r="F30" s="2" t="inlineStr">
        <is>
          <t>Partially Implemented</t>
        </is>
      </c>
      <c r="G30" s="2" t="inlineStr">
        <is>
          <t>Incident Response Policy</t>
        </is>
      </c>
      <c r="H30" s="2" t="inlineStr"/>
      <c r="I30" s="2" t="inlineStr"/>
      <c r="J30" s="2" t="inlineStr"/>
      <c r="K30" s="2" t="inlineStr"/>
    </row>
    <row r="31">
      <c r="A31" s="2" t="inlineStr">
        <is>
          <t>A.5</t>
        </is>
      </c>
      <c r="B31" s="2" t="inlineStr">
        <is>
          <t>5.30</t>
        </is>
      </c>
      <c r="C31" s="2" t="inlineStr">
        <is>
          <t>ICT readiness for business continuity</t>
        </is>
      </c>
      <c r="D31" s="2" t="inlineStr">
        <is>
          <t>Yes</t>
        </is>
      </c>
      <c r="E31" s="2" t="inlineStr">
        <is>
          <t>Cloud services and critical technology require recovery planning.</t>
        </is>
      </c>
      <c r="F31" s="2" t="inlineStr">
        <is>
          <t>Partially Implemented</t>
        </is>
      </c>
      <c r="G31" s="2" t="inlineStr">
        <is>
          <t>Information Security Policy</t>
        </is>
      </c>
      <c r="H31" s="2" t="inlineStr"/>
      <c r="I31" s="2" t="inlineStr"/>
      <c r="J31" s="2" t="inlineStr"/>
      <c r="K31" s="2" t="inlineStr"/>
    </row>
    <row r="32">
      <c r="A32" s="2" t="inlineStr">
        <is>
          <t>A.5</t>
        </is>
      </c>
      <c r="B32" s="2" t="inlineStr">
        <is>
          <t>5.31</t>
        </is>
      </c>
      <c r="C32" s="2" t="inlineStr">
        <is>
          <t>Legal, statutory, regulatory and contractual requirements</t>
        </is>
      </c>
      <c r="D32" s="2" t="inlineStr">
        <is>
          <t>Yes</t>
        </is>
      </c>
      <c r="E32" s="2" t="inlineStr">
        <is>
          <t>Applicable requirements affect security, privacy, customers, and suppliers.</t>
        </is>
      </c>
      <c r="F32" s="2" t="inlineStr">
        <is>
          <t>Planned</t>
        </is>
      </c>
      <c r="G32" s="2" t="inlineStr">
        <is>
          <t>Information Security Policy</t>
        </is>
      </c>
      <c r="H32" s="2" t="inlineStr"/>
      <c r="I32" s="2" t="inlineStr"/>
      <c r="J32" s="2" t="inlineStr"/>
      <c r="K32" s="2" t="inlineStr"/>
    </row>
    <row r="33">
      <c r="A33" s="2" t="inlineStr">
        <is>
          <t>A.5</t>
        </is>
      </c>
      <c r="B33" s="2" t="inlineStr">
        <is>
          <t>5.32</t>
        </is>
      </c>
      <c r="C33" s="2" t="inlineStr">
        <is>
          <t>Intellectual property rights</t>
        </is>
      </c>
      <c r="D33" s="2" t="inlineStr">
        <is>
          <t>Yes</t>
        </is>
      </c>
      <c r="E33" s="2" t="inlineStr">
        <is>
          <t>Source code, models, and other intellectual property require protection.</t>
        </is>
      </c>
      <c r="F33" s="2" t="inlineStr">
        <is>
          <t>Planned</t>
        </is>
      </c>
      <c r="G33" s="2" t="inlineStr">
        <is>
          <t>Information Security Policy</t>
        </is>
      </c>
      <c r="H33" s="2" t="inlineStr"/>
      <c r="I33" s="2" t="inlineStr"/>
      <c r="J33" s="2" t="inlineStr"/>
      <c r="K33" s="2" t="inlineStr"/>
    </row>
    <row r="34">
      <c r="A34" s="2" t="inlineStr">
        <is>
          <t>A.5</t>
        </is>
      </c>
      <c r="B34" s="2" t="inlineStr">
        <is>
          <t>5.33</t>
        </is>
      </c>
      <c r="C34" s="2" t="inlineStr">
        <is>
          <t>Protection of records</t>
        </is>
      </c>
      <c r="D34" s="2" t="inlineStr">
        <is>
          <t>Yes</t>
        </is>
      </c>
      <c r="E34" s="2" t="inlineStr">
        <is>
          <t>Security, compliance, and business records require appropriate protection and retention.</t>
        </is>
      </c>
      <c r="F34" s="2" t="inlineStr">
        <is>
          <t>Planned</t>
        </is>
      </c>
      <c r="G34" s="2" t="inlineStr">
        <is>
          <t>Information Security Policy</t>
        </is>
      </c>
      <c r="H34" s="2" t="inlineStr"/>
      <c r="I34" s="2" t="inlineStr"/>
      <c r="J34" s="2" t="inlineStr"/>
      <c r="K34" s="2" t="inlineStr"/>
    </row>
    <row r="35">
      <c r="A35" s="2" t="inlineStr">
        <is>
          <t>A.5</t>
        </is>
      </c>
      <c r="B35" s="2" t="inlineStr">
        <is>
          <t>5.34</t>
        </is>
      </c>
      <c r="C35" s="2" t="inlineStr">
        <is>
          <t>Privacy and protection of PII</t>
        </is>
      </c>
      <c r="D35" s="2" t="inlineStr">
        <is>
          <t>Yes</t>
        </is>
      </c>
      <c r="E35" s="2" t="inlineStr">
        <is>
          <t>The platform may process customer and personal information, making privacy protections relevant.</t>
        </is>
      </c>
      <c r="F35" s="2" t="inlineStr">
        <is>
          <t>Partially Implemented</t>
        </is>
      </c>
      <c r="G35" s="2" t="inlineStr">
        <is>
          <t>Information Security Policy</t>
        </is>
      </c>
      <c r="H35" s="2" t="inlineStr"/>
      <c r="I35" s="2" t="inlineStr"/>
      <c r="J35" s="2" t="inlineStr"/>
      <c r="K35" s="2" t="inlineStr"/>
    </row>
    <row r="36">
      <c r="A36" s="2" t="inlineStr">
        <is>
          <t>A.5</t>
        </is>
      </c>
      <c r="B36" s="2" t="inlineStr">
        <is>
          <t>5.35</t>
        </is>
      </c>
      <c r="C36" s="2" t="inlineStr">
        <is>
          <t>Independent review of information security</t>
        </is>
      </c>
      <c r="D36" s="2" t="inlineStr">
        <is>
          <t>Yes</t>
        </is>
      </c>
      <c r="E36" s="2" t="inlineStr">
        <is>
          <t>Independent review supports objective evaluation of ISMS effectiveness.</t>
        </is>
      </c>
      <c r="F36" s="2" t="inlineStr">
        <is>
          <t>Planned</t>
        </is>
      </c>
      <c r="G36" s="2" t="inlineStr">
        <is>
          <t>ISMS Roles &amp; Responsibilities</t>
        </is>
      </c>
      <c r="H36" s="2" t="inlineStr"/>
      <c r="I36" s="2" t="inlineStr"/>
      <c r="J36" s="2" t="inlineStr"/>
      <c r="K36" s="2" t="inlineStr"/>
    </row>
    <row r="37">
      <c r="A37" s="2" t="inlineStr">
        <is>
          <t>A.5</t>
        </is>
      </c>
      <c r="B37" s="2" t="inlineStr">
        <is>
          <t>5.36</t>
        </is>
      </c>
      <c r="C37" s="2" t="inlineStr">
        <is>
          <t>Compliance with policies, rules and standards for information security</t>
        </is>
      </c>
      <c r="D37" s="2" t="inlineStr">
        <is>
          <t>Yes</t>
        </is>
      </c>
      <c r="E37" s="2" t="inlineStr">
        <is>
          <t>Compliance with approved security requirements must be monitored.</t>
        </is>
      </c>
      <c r="F37" s="2" t="inlineStr">
        <is>
          <t>Partially Implemented</t>
        </is>
      </c>
      <c r="G37" s="2" t="inlineStr">
        <is>
          <t>Information Security Policy</t>
        </is>
      </c>
      <c r="H37" s="2" t="inlineStr"/>
      <c r="I37" s="2" t="inlineStr"/>
      <c r="J37" s="2" t="inlineStr"/>
      <c r="K37" s="2" t="inlineStr"/>
    </row>
    <row r="38">
      <c r="A38" s="2" t="inlineStr">
        <is>
          <t>A.5</t>
        </is>
      </c>
      <c r="B38" s="2" t="inlineStr">
        <is>
          <t>5.37</t>
        </is>
      </c>
      <c r="C38" s="2" t="inlineStr">
        <is>
          <t>Documented operating procedures</t>
        </is>
      </c>
      <c r="D38" s="2" t="inlineStr">
        <is>
          <t>Yes</t>
        </is>
      </c>
      <c r="E38" s="2" t="inlineStr">
        <is>
          <t>Operational security activities require documented procedures supporting policies.</t>
        </is>
      </c>
      <c r="F38" s="2" t="inlineStr">
        <is>
          <t>Planned</t>
        </is>
      </c>
      <c r="G38" s="2" t="inlineStr">
        <is>
          <t>Information Security Policy</t>
        </is>
      </c>
      <c r="H38" s="2" t="inlineStr"/>
      <c r="I38" s="2" t="inlineStr"/>
      <c r="J38" s="2" t="inlineStr"/>
      <c r="K38" s="2" t="inlineStr"/>
    </row>
    <row r="39">
      <c r="A39" s="2" t="inlineStr">
        <is>
          <t>A.6</t>
        </is>
      </c>
      <c r="B39" s="2" t="inlineStr">
        <is>
          <t>6.1</t>
        </is>
      </c>
      <c r="C39" s="2" t="inlineStr">
        <is>
          <t>Screening</t>
        </is>
      </c>
      <c r="D39" s="2" t="inlineStr">
        <is>
          <t>Yes</t>
        </is>
      </c>
      <c r="E39" s="2" t="inlineStr">
        <is>
          <t>Personnel with access to sensitive information may require appropriate screening.</t>
        </is>
      </c>
      <c r="F39" s="2" t="inlineStr">
        <is>
          <t>Planned</t>
        </is>
      </c>
      <c r="G39" s="2" t="inlineStr">
        <is>
          <t>ISMS Roles &amp; Responsibilities</t>
        </is>
      </c>
      <c r="H39" s="2" t="inlineStr"/>
      <c r="I39" s="2" t="inlineStr"/>
      <c r="J39" s="2" t="inlineStr"/>
      <c r="K39" s="2" t="inlineStr"/>
    </row>
    <row r="40">
      <c r="A40" s="2" t="inlineStr">
        <is>
          <t>A.6</t>
        </is>
      </c>
      <c r="B40" s="2" t="inlineStr">
        <is>
          <t>6.2</t>
        </is>
      </c>
      <c r="C40" s="2" t="inlineStr">
        <is>
          <t>Terms and conditions of employment</t>
        </is>
      </c>
      <c r="D40" s="2" t="inlineStr">
        <is>
          <t>Yes</t>
        </is>
      </c>
      <c r="E40" s="2" t="inlineStr">
        <is>
          <t>Personnel responsibilities for information security should be established.</t>
        </is>
      </c>
      <c r="F40" s="2" t="inlineStr">
        <is>
          <t>Planned</t>
        </is>
      </c>
      <c r="G40" s="2" t="inlineStr">
        <is>
          <t>ISMS Roles &amp; Responsibilities</t>
        </is>
      </c>
      <c r="H40" s="2" t="inlineStr"/>
      <c r="I40" s="2" t="inlineStr"/>
      <c r="J40" s="2" t="inlineStr"/>
      <c r="K40" s="2" t="inlineStr"/>
    </row>
    <row r="41">
      <c r="A41" s="2" t="inlineStr">
        <is>
          <t>A.6</t>
        </is>
      </c>
      <c r="B41" s="2" t="inlineStr">
        <is>
          <t>6.3</t>
        </is>
      </c>
      <c r="C41" s="2" t="inlineStr">
        <is>
          <t>Information security awareness, education and training</t>
        </is>
      </c>
      <c r="D41" s="2" t="inlineStr">
        <is>
          <t>Yes</t>
        </is>
      </c>
      <c r="E41" s="2" t="inlineStr">
        <is>
          <t>Personnel require security awareness and role-appropriate training.</t>
        </is>
      </c>
      <c r="F41" s="2" t="inlineStr">
        <is>
          <t>Planned</t>
        </is>
      </c>
      <c r="G41" s="2" t="inlineStr">
        <is>
          <t>ISMS Objectives</t>
        </is>
      </c>
      <c r="H41" s="2" t="inlineStr"/>
      <c r="I41" s="2" t="inlineStr"/>
      <c r="J41" s="2" t="inlineStr"/>
      <c r="K41" s="2" t="inlineStr"/>
    </row>
    <row r="42">
      <c r="A42" s="2" t="inlineStr">
        <is>
          <t>A.6</t>
        </is>
      </c>
      <c r="B42" s="2" t="inlineStr">
        <is>
          <t>6.4</t>
        </is>
      </c>
      <c r="C42" s="2" t="inlineStr">
        <is>
          <t>Disciplinary process</t>
        </is>
      </c>
      <c r="D42" s="2" t="inlineStr">
        <is>
          <t>Yes</t>
        </is>
      </c>
      <c r="E42" s="2" t="inlineStr">
        <is>
          <t>A defined process supports enforcement of security responsibilities.</t>
        </is>
      </c>
      <c r="F42" s="2" t="inlineStr">
        <is>
          <t>Planned</t>
        </is>
      </c>
      <c r="G42" s="2" t="inlineStr">
        <is>
          <t>ISMS Roles &amp; Responsibilities</t>
        </is>
      </c>
      <c r="H42" s="2" t="inlineStr"/>
      <c r="I42" s="2" t="inlineStr"/>
      <c r="J42" s="2" t="inlineStr"/>
      <c r="K42" s="2" t="inlineStr"/>
    </row>
    <row r="43">
      <c r="A43" s="2" t="inlineStr">
        <is>
          <t>A.6</t>
        </is>
      </c>
      <c r="B43" s="2" t="inlineStr">
        <is>
          <t>6.5</t>
        </is>
      </c>
      <c r="C43" s="2" t="inlineStr">
        <is>
          <t>Responsibilities after termination or change of employment</t>
        </is>
      </c>
      <c r="D43" s="2" t="inlineStr">
        <is>
          <t>Yes</t>
        </is>
      </c>
      <c r="E43" s="2" t="inlineStr">
        <is>
          <t>Access and information-security responsibilities must be managed after role changes or termination.</t>
        </is>
      </c>
      <c r="F43" s="2" t="inlineStr">
        <is>
          <t>Partially Implemented</t>
        </is>
      </c>
      <c r="G43" s="2" t="inlineStr">
        <is>
          <t>Access Control Policy</t>
        </is>
      </c>
      <c r="H43" s="2" t="inlineStr"/>
      <c r="I43" s="2" t="inlineStr"/>
      <c r="J43" s="2" t="inlineStr"/>
      <c r="K43" s="2" t="inlineStr"/>
    </row>
    <row r="44">
      <c r="A44" s="2" t="inlineStr">
        <is>
          <t>A.6</t>
        </is>
      </c>
      <c r="B44" s="2" t="inlineStr">
        <is>
          <t>6.6</t>
        </is>
      </c>
      <c r="C44" s="2" t="inlineStr">
        <is>
          <t>Confidentiality or non-disclosure agreements</t>
        </is>
      </c>
      <c r="D44" s="2" t="inlineStr">
        <is>
          <t>Yes</t>
        </is>
      </c>
      <c r="E44" s="2" t="inlineStr">
        <is>
          <t>Confidentiality obligations are relevant to employees, contractors, and third parties.</t>
        </is>
      </c>
      <c r="F44" s="2" t="inlineStr">
        <is>
          <t>Planned</t>
        </is>
      </c>
      <c r="G44" s="2" t="inlineStr">
        <is>
          <t>Third-Party Security Policy</t>
        </is>
      </c>
      <c r="H44" s="2" t="inlineStr"/>
      <c r="I44" s="2" t="inlineStr"/>
      <c r="J44" s="2" t="inlineStr"/>
      <c r="K44" s="2" t="inlineStr"/>
    </row>
    <row r="45">
      <c r="A45" s="2" t="inlineStr">
        <is>
          <t>A.6</t>
        </is>
      </c>
      <c r="B45" s="2" t="inlineStr">
        <is>
          <t>6.7</t>
        </is>
      </c>
      <c r="C45" s="2" t="inlineStr">
        <is>
          <t>Remote working</t>
        </is>
      </c>
      <c r="D45" s="2" t="inlineStr">
        <is>
          <t>Yes</t>
        </is>
      </c>
      <c r="E45" s="2" t="inlineStr">
        <is>
          <t>Axiom operates a remote/hybrid workforce.</t>
        </is>
      </c>
      <c r="F45" s="2" t="inlineStr">
        <is>
          <t>Partially Implemented</t>
        </is>
      </c>
      <c r="G45" s="2" t="inlineStr">
        <is>
          <t>Information Security Policy</t>
        </is>
      </c>
      <c r="H45" s="2" t="inlineStr"/>
      <c r="I45" s="2" t="inlineStr"/>
      <c r="J45" s="2" t="inlineStr"/>
      <c r="K45" s="2" t="inlineStr"/>
    </row>
    <row r="46">
      <c r="A46" s="2" t="inlineStr">
        <is>
          <t>A.6</t>
        </is>
      </c>
      <c r="B46" s="2" t="inlineStr">
        <is>
          <t>6.8</t>
        </is>
      </c>
      <c r="C46" s="2" t="inlineStr">
        <is>
          <t>Information security event reporting</t>
        </is>
      </c>
      <c r="D46" s="2" t="inlineStr">
        <is>
          <t>Yes</t>
        </is>
      </c>
      <c r="E46" s="2" t="inlineStr">
        <is>
          <t>Personnel need a clear mechanism for reporting security events.</t>
        </is>
      </c>
      <c r="F46" s="2" t="inlineStr">
        <is>
          <t>Implemented</t>
        </is>
      </c>
      <c r="G46" s="2" t="inlineStr">
        <is>
          <t>Incident Response Policy</t>
        </is>
      </c>
      <c r="H46" s="2" t="inlineStr"/>
      <c r="I46" s="2" t="inlineStr"/>
      <c r="J46" s="2" t="inlineStr"/>
      <c r="K46" s="2" t="inlineStr"/>
    </row>
    <row r="47">
      <c r="A47" s="2" t="inlineStr">
        <is>
          <t>A.7</t>
        </is>
      </c>
      <c r="B47" s="2" t="inlineStr">
        <is>
          <t>7.1</t>
        </is>
      </c>
      <c r="C47" s="2" t="inlineStr">
        <is>
          <t>Physical security perimeters</t>
        </is>
      </c>
      <c r="D47" s="2" t="inlineStr">
        <is>
          <t>Yes</t>
        </is>
      </c>
      <c r="E47" s="2" t="inlineStr">
        <is>
          <t>Physical security of offices or facilities supporting in-scope information requires consideration.</t>
        </is>
      </c>
      <c r="F47" s="2" t="inlineStr">
        <is>
          <t>Planned</t>
        </is>
      </c>
      <c r="G47" s="2" t="inlineStr">
        <is>
          <t>Information Security Policy</t>
        </is>
      </c>
      <c r="H47" s="2" t="inlineStr"/>
      <c r="I47" s="2" t="inlineStr"/>
      <c r="J47" s="2" t="inlineStr"/>
      <c r="K47" s="2" t="inlineStr"/>
    </row>
    <row r="48">
      <c r="A48" s="2" t="inlineStr">
        <is>
          <t>A.7</t>
        </is>
      </c>
      <c r="B48" s="2" t="inlineStr">
        <is>
          <t>7.2</t>
        </is>
      </c>
      <c r="C48" s="2" t="inlineStr">
        <is>
          <t>Physical entry</t>
        </is>
      </c>
      <c r="D48" s="2" t="inlineStr">
        <is>
          <t>Yes</t>
        </is>
      </c>
      <c r="E48" s="2" t="inlineStr">
        <is>
          <t>Physical access to relevant facilities should be controlled.</t>
        </is>
      </c>
      <c r="F48" s="2" t="inlineStr">
        <is>
          <t>Planned</t>
        </is>
      </c>
      <c r="G48" s="2" t="inlineStr">
        <is>
          <t>Information Security Policy</t>
        </is>
      </c>
      <c r="H48" s="2" t="inlineStr"/>
      <c r="I48" s="2" t="inlineStr"/>
      <c r="J48" s="2" t="inlineStr"/>
      <c r="K48" s="2" t="inlineStr"/>
    </row>
    <row r="49">
      <c r="A49" s="2" t="inlineStr">
        <is>
          <t>A.7</t>
        </is>
      </c>
      <c r="B49" s="2" t="inlineStr">
        <is>
          <t>7.3</t>
        </is>
      </c>
      <c r="C49" s="2" t="inlineStr">
        <is>
          <t>Securing offices, rooms and facilities</t>
        </is>
      </c>
      <c r="D49" s="2" t="inlineStr">
        <is>
          <t>Yes</t>
        </is>
      </c>
      <c r="E49" s="2" t="inlineStr">
        <is>
          <t>Facilities used for in-scope activities require appropriate physical safeguards.</t>
        </is>
      </c>
      <c r="F49" s="2" t="inlineStr">
        <is>
          <t>Planned</t>
        </is>
      </c>
      <c r="G49" s="2" t="inlineStr">
        <is>
          <t>Information Security Policy</t>
        </is>
      </c>
      <c r="H49" s="2" t="inlineStr"/>
      <c r="I49" s="2" t="inlineStr"/>
      <c r="J49" s="2" t="inlineStr"/>
      <c r="K49" s="2" t="inlineStr"/>
    </row>
    <row r="50">
      <c r="A50" s="2" t="inlineStr">
        <is>
          <t>A.7</t>
        </is>
      </c>
      <c r="B50" s="2" t="inlineStr">
        <is>
          <t>7.4</t>
        </is>
      </c>
      <c r="C50" s="2" t="inlineStr">
        <is>
          <t>Physical security monitoring</t>
        </is>
      </c>
      <c r="D50" s="2" t="inlineStr">
        <is>
          <t>Yes</t>
        </is>
      </c>
      <c r="E50" s="2" t="inlineStr">
        <is>
          <t>Relevant facilities may require physical monitoring based on risk.</t>
        </is>
      </c>
      <c r="F50" s="2" t="inlineStr">
        <is>
          <t>Planned</t>
        </is>
      </c>
      <c r="G50" s="2" t="inlineStr">
        <is>
          <t>Information Security Policy</t>
        </is>
      </c>
      <c r="H50" s="2" t="inlineStr"/>
      <c r="I50" s="2" t="inlineStr"/>
      <c r="J50" s="2" t="inlineStr"/>
      <c r="K50" s="2" t="inlineStr"/>
    </row>
    <row r="51">
      <c r="A51" s="2" t="inlineStr">
        <is>
          <t>A.7</t>
        </is>
      </c>
      <c r="B51" s="2" t="inlineStr">
        <is>
          <t>7.5</t>
        </is>
      </c>
      <c r="C51" s="2" t="inlineStr">
        <is>
          <t>Protecting against physical and environmental threats</t>
        </is>
      </c>
      <c r="D51" s="2" t="inlineStr">
        <is>
          <t>Yes</t>
        </is>
      </c>
      <c r="E51" s="2" t="inlineStr">
        <is>
          <t>Physical and environmental risks can affect information and equipment.</t>
        </is>
      </c>
      <c r="F51" s="2" t="inlineStr">
        <is>
          <t>Planned</t>
        </is>
      </c>
      <c r="G51" s="2" t="inlineStr">
        <is>
          <t>Information Security Policy</t>
        </is>
      </c>
      <c r="H51" s="2" t="inlineStr"/>
      <c r="I51" s="2" t="inlineStr"/>
      <c r="J51" s="2" t="inlineStr"/>
      <c r="K51" s="2" t="inlineStr"/>
    </row>
    <row r="52">
      <c r="A52" s="2" t="inlineStr">
        <is>
          <t>A.7</t>
        </is>
      </c>
      <c r="B52" s="2" t="inlineStr">
        <is>
          <t>7.6</t>
        </is>
      </c>
      <c r="C52" s="2" t="inlineStr">
        <is>
          <t>Working in secure areas</t>
        </is>
      </c>
      <c r="D52" s="2" t="inlineStr">
        <is>
          <t>Yes</t>
        </is>
      </c>
      <c r="E52" s="2" t="inlineStr">
        <is>
          <t>Secure-area requirements may apply where sensitive processing occurs.</t>
        </is>
      </c>
      <c r="F52" s="2" t="inlineStr">
        <is>
          <t>Planned</t>
        </is>
      </c>
      <c r="G52" s="2" t="inlineStr">
        <is>
          <t>Information Security Policy</t>
        </is>
      </c>
      <c r="H52" s="2" t="inlineStr"/>
      <c r="I52" s="2" t="inlineStr"/>
      <c r="J52" s="2" t="inlineStr"/>
      <c r="K52" s="2" t="inlineStr"/>
    </row>
    <row r="53">
      <c r="A53" s="2" t="inlineStr">
        <is>
          <t>A.7</t>
        </is>
      </c>
      <c r="B53" s="2" t="inlineStr">
        <is>
          <t>7.7</t>
        </is>
      </c>
      <c r="C53" s="2" t="inlineStr">
        <is>
          <t>Clear desk and clear screen</t>
        </is>
      </c>
      <c r="D53" s="2" t="inlineStr">
        <is>
          <t>Yes</t>
        </is>
      </c>
      <c r="E53" s="2" t="inlineStr">
        <is>
          <t>Remote and office personnel may handle sensitive information on endpoints.</t>
        </is>
      </c>
      <c r="F53" s="2" t="inlineStr">
        <is>
          <t>Planned</t>
        </is>
      </c>
      <c r="G53" s="2" t="inlineStr">
        <is>
          <t>Information Security Policy</t>
        </is>
      </c>
      <c r="H53" s="2" t="inlineStr"/>
      <c r="I53" s="2" t="inlineStr"/>
      <c r="J53" s="2" t="inlineStr"/>
      <c r="K53" s="2" t="inlineStr"/>
    </row>
    <row r="54">
      <c r="A54" s="2" t="inlineStr">
        <is>
          <t>A.7</t>
        </is>
      </c>
      <c r="B54" s="2" t="inlineStr">
        <is>
          <t>7.8</t>
        </is>
      </c>
      <c r="C54" s="2" t="inlineStr">
        <is>
          <t>Equipment siting and protection</t>
        </is>
      </c>
      <c r="D54" s="2" t="inlineStr">
        <is>
          <t>Yes</t>
        </is>
      </c>
      <c r="E54" s="2" t="inlineStr">
        <is>
          <t>Endpoints and other equipment require protection from physical threats.</t>
        </is>
      </c>
      <c r="F54" s="2" t="inlineStr">
        <is>
          <t>Planned</t>
        </is>
      </c>
      <c r="G54" s="2" t="inlineStr">
        <is>
          <t>Asset Management Policy</t>
        </is>
      </c>
      <c r="H54" s="2" t="inlineStr"/>
      <c r="I54" s="2" t="inlineStr"/>
      <c r="J54" s="2" t="inlineStr"/>
      <c r="K54" s="2" t="inlineStr"/>
    </row>
    <row r="55">
      <c r="A55" s="2" t="inlineStr">
        <is>
          <t>A.7</t>
        </is>
      </c>
      <c r="B55" s="2" t="inlineStr">
        <is>
          <t>7.9</t>
        </is>
      </c>
      <c r="C55" s="2" t="inlineStr">
        <is>
          <t>Security of assets off-premises</t>
        </is>
      </c>
      <c r="D55" s="2" t="inlineStr">
        <is>
          <t>Yes</t>
        </is>
      </c>
      <c r="E55" s="2" t="inlineStr">
        <is>
          <t>Remote/hybrid work means company assets may be used away from company facilities.</t>
        </is>
      </c>
      <c r="F55" s="2" t="inlineStr">
        <is>
          <t>Partially Implemented</t>
        </is>
      </c>
      <c r="G55" s="2" t="inlineStr">
        <is>
          <t>Asset Management Policy</t>
        </is>
      </c>
      <c r="H55" s="2" t="inlineStr"/>
      <c r="I55" s="2" t="inlineStr"/>
      <c r="J55" s="2" t="inlineStr"/>
      <c r="K55" s="2" t="inlineStr"/>
    </row>
    <row r="56">
      <c r="A56" s="2" t="inlineStr">
        <is>
          <t>A.7</t>
        </is>
      </c>
      <c r="B56" s="2" t="inlineStr">
        <is>
          <t>7.10</t>
        </is>
      </c>
      <c r="C56" s="2" t="inlineStr">
        <is>
          <t>Storage media</t>
        </is>
      </c>
      <c r="D56" s="2" t="inlineStr">
        <is>
          <t>Yes</t>
        </is>
      </c>
      <c r="E56" s="2" t="inlineStr">
        <is>
          <t>Storage media may contain sensitive company information and require protection.</t>
        </is>
      </c>
      <c r="F56" s="2" t="inlineStr">
        <is>
          <t>Planned</t>
        </is>
      </c>
      <c r="G56" s="2" t="inlineStr">
        <is>
          <t>Asset Management Policy</t>
        </is>
      </c>
      <c r="H56" s="2" t="inlineStr"/>
      <c r="I56" s="2" t="inlineStr"/>
      <c r="J56" s="2" t="inlineStr"/>
      <c r="K56" s="2" t="inlineStr"/>
    </row>
    <row r="57">
      <c r="A57" s="2" t="inlineStr">
        <is>
          <t>A.7</t>
        </is>
      </c>
      <c r="B57" s="2" t="inlineStr">
        <is>
          <t>7.11</t>
        </is>
      </c>
      <c r="C57" s="2" t="inlineStr">
        <is>
          <t>Supporting utilities</t>
        </is>
      </c>
      <c r="D57" s="2" t="inlineStr">
        <is>
          <t>Yes</t>
        </is>
      </c>
      <c r="E57" s="2" t="inlineStr">
        <is>
          <t>Availability of relevant facilities and infrastructure depends on supporting utilities.</t>
        </is>
      </c>
      <c r="F57" s="2" t="inlineStr">
        <is>
          <t>Planned</t>
        </is>
      </c>
      <c r="G57" s="2" t="inlineStr">
        <is>
          <t>Information Security Policy</t>
        </is>
      </c>
      <c r="H57" s="2" t="inlineStr"/>
      <c r="I57" s="2" t="inlineStr"/>
      <c r="J57" s="2" t="inlineStr"/>
      <c r="K57" s="2" t="inlineStr"/>
    </row>
    <row r="58">
      <c r="A58" s="2" t="inlineStr">
        <is>
          <t>A.7</t>
        </is>
      </c>
      <c r="B58" s="2" t="inlineStr">
        <is>
          <t>7.12</t>
        </is>
      </c>
      <c r="C58" s="2" t="inlineStr">
        <is>
          <t>Cabling security</t>
        </is>
      </c>
      <c r="D58" s="2" t="inlineStr">
        <is>
          <t>Yes</t>
        </is>
      </c>
      <c r="E58" s="2" t="inlineStr">
        <is>
          <t>Physical cabling can be relevant to facilities under organizational control.</t>
        </is>
      </c>
      <c r="F58" s="2" t="inlineStr">
        <is>
          <t>Planned</t>
        </is>
      </c>
      <c r="G58" s="2" t="inlineStr">
        <is>
          <t>Information Security Policy</t>
        </is>
      </c>
      <c r="H58" s="2" t="inlineStr"/>
      <c r="I58" s="2" t="inlineStr"/>
      <c r="J58" s="2" t="inlineStr"/>
      <c r="K58" s="2" t="inlineStr"/>
    </row>
    <row r="59">
      <c r="A59" s="2" t="inlineStr">
        <is>
          <t>A.7</t>
        </is>
      </c>
      <c r="B59" s="2" t="inlineStr">
        <is>
          <t>7.13</t>
        </is>
      </c>
      <c r="C59" s="2" t="inlineStr">
        <is>
          <t>Equipment maintenance</t>
        </is>
      </c>
      <c r="D59" s="2" t="inlineStr">
        <is>
          <t>Yes</t>
        </is>
      </c>
      <c r="E59" s="2" t="inlineStr">
        <is>
          <t>Equipment maintenance can affect security and availability.</t>
        </is>
      </c>
      <c r="F59" s="2" t="inlineStr">
        <is>
          <t>Planned</t>
        </is>
      </c>
      <c r="G59" s="2" t="inlineStr">
        <is>
          <t>Asset Management Policy</t>
        </is>
      </c>
      <c r="H59" s="2" t="inlineStr"/>
      <c r="I59" s="2" t="inlineStr"/>
      <c r="J59" s="2" t="inlineStr"/>
      <c r="K59" s="2" t="inlineStr"/>
    </row>
    <row r="60">
      <c r="A60" s="2" t="inlineStr">
        <is>
          <t>A.7</t>
        </is>
      </c>
      <c r="B60" s="2" t="inlineStr">
        <is>
          <t>7.14</t>
        </is>
      </c>
      <c r="C60" s="2" t="inlineStr">
        <is>
          <t>Secure disposal or re-use of equipment</t>
        </is>
      </c>
      <c r="D60" s="2" t="inlineStr">
        <is>
          <t>Yes</t>
        </is>
      </c>
      <c r="E60" s="2" t="inlineStr">
        <is>
          <t>Equipment disposal or reuse must prevent unauthorized disclosure.</t>
        </is>
      </c>
      <c r="F60" s="2" t="inlineStr">
        <is>
          <t>Planned</t>
        </is>
      </c>
      <c r="G60" s="2" t="inlineStr">
        <is>
          <t>Asset Management Policy</t>
        </is>
      </c>
      <c r="H60" s="2" t="inlineStr"/>
      <c r="I60" s="2" t="inlineStr"/>
      <c r="J60" s="2" t="inlineStr"/>
      <c r="K60" s="2" t="inlineStr"/>
    </row>
    <row r="61">
      <c r="A61" s="2" t="inlineStr">
        <is>
          <t>A.8</t>
        </is>
      </c>
      <c r="B61" s="2" t="inlineStr">
        <is>
          <t>8.1</t>
        </is>
      </c>
      <c r="C61" s="2" t="inlineStr">
        <is>
          <t>User endpoint devices</t>
        </is>
      </c>
      <c r="D61" s="2" t="inlineStr">
        <is>
          <t>Yes</t>
        </is>
      </c>
      <c r="E61" s="2" t="inlineStr">
        <is>
          <t>Endpoints are used by personnel in the remote/hybrid environment.</t>
        </is>
      </c>
      <c r="F61" s="2" t="inlineStr">
        <is>
          <t>Partially Implemented</t>
        </is>
      </c>
      <c r="G61" s="2" t="inlineStr">
        <is>
          <t>Access Control Policy</t>
        </is>
      </c>
      <c r="H61" s="2" t="inlineStr"/>
      <c r="I61" s="2" t="inlineStr"/>
      <c r="J61" s="2" t="inlineStr"/>
      <c r="K61" s="2" t="inlineStr"/>
    </row>
    <row r="62">
      <c r="A62" s="2" t="inlineStr">
        <is>
          <t>A.8</t>
        </is>
      </c>
      <c r="B62" s="2" t="inlineStr">
        <is>
          <t>8.2</t>
        </is>
      </c>
      <c r="C62" s="2" t="inlineStr">
        <is>
          <t>Privileged access rights</t>
        </is>
      </c>
      <c r="D62" s="2" t="inlineStr">
        <is>
          <t>Yes</t>
        </is>
      </c>
      <c r="E62" s="2" t="inlineStr">
        <is>
          <t>Administrative access to cloud and production systems requires enhanced controls.</t>
        </is>
      </c>
      <c r="F62" s="2" t="inlineStr">
        <is>
          <t>Partially Implemented</t>
        </is>
      </c>
      <c r="G62" s="2" t="inlineStr">
        <is>
          <t>Access Control Policy</t>
        </is>
      </c>
      <c r="H62" s="2" t="inlineStr"/>
      <c r="I62" s="2" t="inlineStr"/>
      <c r="J62" s="2" t="inlineStr"/>
      <c r="K62" s="2" t="inlineStr"/>
    </row>
    <row r="63">
      <c r="A63" s="2" t="inlineStr">
        <is>
          <t>A.8</t>
        </is>
      </c>
      <c r="B63" s="2" t="inlineStr">
        <is>
          <t>8.3</t>
        </is>
      </c>
      <c r="C63" s="2" t="inlineStr">
        <is>
          <t>Information access restriction</t>
        </is>
      </c>
      <c r="D63" s="2" t="inlineStr">
        <is>
          <t>Yes</t>
        </is>
      </c>
      <c r="E63" s="2" t="inlineStr">
        <is>
          <t>Access to customer, source-code, model, and business information must be restricted.</t>
        </is>
      </c>
      <c r="F63" s="2" t="inlineStr">
        <is>
          <t>Partially Implemented</t>
        </is>
      </c>
      <c r="G63" s="2" t="inlineStr">
        <is>
          <t>Access Control Policy</t>
        </is>
      </c>
      <c r="H63" s="2" t="inlineStr"/>
      <c r="I63" s="2" t="inlineStr"/>
      <c r="J63" s="2" t="inlineStr"/>
      <c r="K63" s="2" t="inlineStr"/>
    </row>
    <row r="64">
      <c r="A64" s="2" t="inlineStr">
        <is>
          <t>A.8</t>
        </is>
      </c>
      <c r="B64" s="2" t="inlineStr">
        <is>
          <t>8.4</t>
        </is>
      </c>
      <c r="C64" s="2" t="inlineStr">
        <is>
          <t>Access to source code</t>
        </is>
      </c>
      <c r="D64" s="2" t="inlineStr">
        <is>
          <t>Yes</t>
        </is>
      </c>
      <c r="E64" s="2" t="inlineStr">
        <is>
          <t>Axiom's source code is a sensitive information asset.</t>
        </is>
      </c>
      <c r="F64" s="2" t="inlineStr">
        <is>
          <t>Partially Implemented</t>
        </is>
      </c>
      <c r="G64" s="2" t="inlineStr">
        <is>
          <t>Access Control Policy</t>
        </is>
      </c>
      <c r="H64" s="2" t="inlineStr"/>
      <c r="I64" s="2" t="inlineStr"/>
      <c r="J64" s="2" t="inlineStr"/>
      <c r="K64" s="2" t="inlineStr"/>
    </row>
    <row r="65">
      <c r="A65" s="2" t="inlineStr">
        <is>
          <t>A.8</t>
        </is>
      </c>
      <c r="B65" s="2" t="inlineStr">
        <is>
          <t>8.5</t>
        </is>
      </c>
      <c r="C65" s="2" t="inlineStr">
        <is>
          <t>Secure authentication</t>
        </is>
      </c>
      <c r="D65" s="2" t="inlineStr">
        <is>
          <t>Yes</t>
        </is>
      </c>
      <c r="E65" s="2" t="inlineStr">
        <is>
          <t>Secure authentication is required for corporate and cloud systems.</t>
        </is>
      </c>
      <c r="F65" s="2" t="inlineStr">
        <is>
          <t>Partially Implemented</t>
        </is>
      </c>
      <c r="G65" s="2" t="inlineStr">
        <is>
          <t>Access Control Policy</t>
        </is>
      </c>
      <c r="H65" s="2" t="inlineStr"/>
      <c r="I65" s="2" t="inlineStr"/>
      <c r="J65" s="2" t="inlineStr"/>
      <c r="K65" s="2" t="inlineStr"/>
    </row>
    <row r="66">
      <c r="A66" s="2" t="inlineStr">
        <is>
          <t>A.8</t>
        </is>
      </c>
      <c r="B66" s="2" t="inlineStr">
        <is>
          <t>8.6</t>
        </is>
      </c>
      <c r="C66" s="2" t="inlineStr">
        <is>
          <t>Capacity management</t>
        </is>
      </c>
      <c r="D66" s="2" t="inlineStr">
        <is>
          <t>Yes</t>
        </is>
      </c>
      <c r="E66" s="2" t="inlineStr">
        <is>
          <t>Capacity affects availability of the SaaS platform and supporting services.</t>
        </is>
      </c>
      <c r="F66" s="2" t="inlineStr">
        <is>
          <t>Planned</t>
        </is>
      </c>
      <c r="G66" s="2" t="inlineStr">
        <is>
          <t>Information Security Policy</t>
        </is>
      </c>
      <c r="H66" s="2" t="inlineStr"/>
      <c r="I66" s="2" t="inlineStr"/>
      <c r="J66" s="2" t="inlineStr"/>
      <c r="K66" s="2" t="inlineStr"/>
    </row>
    <row r="67">
      <c r="A67" s="2" t="inlineStr">
        <is>
          <t>A.8</t>
        </is>
      </c>
      <c r="B67" s="2" t="inlineStr">
        <is>
          <t>8.7</t>
        </is>
      </c>
      <c r="C67" s="2" t="inlineStr">
        <is>
          <t>Protection against malware</t>
        </is>
      </c>
      <c r="D67" s="2" t="inlineStr">
        <is>
          <t>Yes</t>
        </is>
      </c>
      <c r="E67" s="2" t="inlineStr">
        <is>
          <t>Endpoints and systems require malware protection.</t>
        </is>
      </c>
      <c r="F67" s="2" t="inlineStr">
        <is>
          <t>Partially Implemented</t>
        </is>
      </c>
      <c r="G67" s="2" t="inlineStr">
        <is>
          <t>Information Security Policy</t>
        </is>
      </c>
      <c r="H67" s="2" t="inlineStr"/>
      <c r="I67" s="2" t="inlineStr"/>
      <c r="J67" s="2" t="inlineStr"/>
      <c r="K67" s="2" t="inlineStr"/>
    </row>
    <row r="68">
      <c r="A68" s="2" t="inlineStr">
        <is>
          <t>A.8</t>
        </is>
      </c>
      <c r="B68" s="2" t="inlineStr">
        <is>
          <t>8.8</t>
        </is>
      </c>
      <c r="C68" s="2" t="inlineStr">
        <is>
          <t>Management of technical vulnerabilities</t>
        </is>
      </c>
      <c r="D68" s="2" t="inlineStr">
        <is>
          <t>Yes</t>
        </is>
      </c>
      <c r="E68" s="2" t="inlineStr">
        <is>
          <t>Vulnerability identification and remediation are core security activities.</t>
        </is>
      </c>
      <c r="F68" s="2" t="inlineStr">
        <is>
          <t>Partially Implemented</t>
        </is>
      </c>
      <c r="G68" s="2" t="inlineStr">
        <is>
          <t>Information Security Policy</t>
        </is>
      </c>
      <c r="H68" s="2" t="inlineStr"/>
      <c r="I68" s="2" t="inlineStr"/>
      <c r="J68" s="2" t="inlineStr"/>
      <c r="K68" s="2" t="inlineStr"/>
    </row>
    <row r="69">
      <c r="A69" s="2" t="inlineStr">
        <is>
          <t>A.8</t>
        </is>
      </c>
      <c r="B69" s="2" t="inlineStr">
        <is>
          <t>8.9</t>
        </is>
      </c>
      <c r="C69" s="2" t="inlineStr">
        <is>
          <t>Configuration management</t>
        </is>
      </c>
      <c r="D69" s="2" t="inlineStr">
        <is>
          <t>Yes</t>
        </is>
      </c>
      <c r="E69" s="2" t="inlineStr">
        <is>
          <t>Secure configurations are necessary for cloud and application environments.</t>
        </is>
      </c>
      <c r="F69" s="2" t="inlineStr">
        <is>
          <t>Planned</t>
        </is>
      </c>
      <c r="G69" s="2" t="inlineStr">
        <is>
          <t>Information Security Policy</t>
        </is>
      </c>
      <c r="H69" s="2" t="inlineStr"/>
      <c r="I69" s="2" t="inlineStr"/>
      <c r="J69" s="2" t="inlineStr"/>
      <c r="K69" s="2" t="inlineStr"/>
    </row>
    <row r="70">
      <c r="A70" s="2" t="inlineStr">
        <is>
          <t>A.8</t>
        </is>
      </c>
      <c r="B70" s="2" t="inlineStr">
        <is>
          <t>8.10</t>
        </is>
      </c>
      <c r="C70" s="2" t="inlineStr">
        <is>
          <t>Information deletion</t>
        </is>
      </c>
      <c r="D70" s="2" t="inlineStr">
        <is>
          <t>Yes</t>
        </is>
      </c>
      <c r="E70" s="2" t="inlineStr">
        <is>
          <t>Information should be securely deleted when retention requirements end.</t>
        </is>
      </c>
      <c r="F70" s="2" t="inlineStr">
        <is>
          <t>Planned</t>
        </is>
      </c>
      <c r="G70" s="2" t="inlineStr">
        <is>
          <t>Information Security Policy</t>
        </is>
      </c>
      <c r="H70" s="2" t="inlineStr"/>
      <c r="I70" s="2" t="inlineStr"/>
      <c r="J70" s="2" t="inlineStr"/>
      <c r="K70" s="2" t="inlineStr"/>
    </row>
    <row r="71">
      <c r="A71" s="2" t="inlineStr">
        <is>
          <t>A.8</t>
        </is>
      </c>
      <c r="B71" s="2" t="inlineStr">
        <is>
          <t>8.11</t>
        </is>
      </c>
      <c r="C71" s="2" t="inlineStr">
        <is>
          <t>Data masking</t>
        </is>
      </c>
      <c r="D71" s="2" t="inlineStr">
        <is>
          <t>Yes</t>
        </is>
      </c>
      <c r="E71" s="2" t="inlineStr">
        <is>
          <t>Data masking may be required when sensitive information is used outside production.</t>
        </is>
      </c>
      <c r="F71" s="2" t="inlineStr">
        <is>
          <t>Planned</t>
        </is>
      </c>
      <c r="G71" s="2" t="inlineStr">
        <is>
          <t>Information Security Policy</t>
        </is>
      </c>
      <c r="H71" s="2" t="inlineStr"/>
      <c r="I71" s="2" t="inlineStr"/>
      <c r="J71" s="2" t="inlineStr"/>
      <c r="K71" s="2" t="inlineStr"/>
    </row>
    <row r="72">
      <c r="A72" s="2" t="inlineStr">
        <is>
          <t>A.8</t>
        </is>
      </c>
      <c r="B72" s="2" t="inlineStr">
        <is>
          <t>8.12</t>
        </is>
      </c>
      <c r="C72" s="2" t="inlineStr">
        <is>
          <t>Data leakage prevention</t>
        </is>
      </c>
      <c r="D72" s="2" t="inlineStr">
        <is>
          <t>Yes</t>
        </is>
      </c>
      <c r="E72" s="2" t="inlineStr">
        <is>
          <t>Sensitive customer, source-code, and credential information requires protection against leakage.</t>
        </is>
      </c>
      <c r="F72" s="2" t="inlineStr">
        <is>
          <t>Planned</t>
        </is>
      </c>
      <c r="G72" s="2" t="inlineStr">
        <is>
          <t>Information Security Policy</t>
        </is>
      </c>
      <c r="H72" s="2" t="inlineStr"/>
      <c r="I72" s="2" t="inlineStr"/>
      <c r="J72" s="2" t="inlineStr"/>
      <c r="K72" s="2" t="inlineStr"/>
    </row>
    <row r="73">
      <c r="A73" s="2" t="inlineStr">
        <is>
          <t>A.8</t>
        </is>
      </c>
      <c r="B73" s="2" t="inlineStr">
        <is>
          <t>8.13</t>
        </is>
      </c>
      <c r="C73" s="2" t="inlineStr">
        <is>
          <t>Information backup</t>
        </is>
      </c>
      <c r="D73" s="2" t="inlineStr">
        <is>
          <t>Yes</t>
        </is>
      </c>
      <c r="E73" s="2" t="inlineStr">
        <is>
          <t>Backups support availability and recovery of critical information.</t>
        </is>
      </c>
      <c r="F73" s="2" t="inlineStr">
        <is>
          <t>Partially Implemented</t>
        </is>
      </c>
      <c r="G73" s="2" t="inlineStr">
        <is>
          <t>Information Security Policy</t>
        </is>
      </c>
      <c r="H73" s="2" t="inlineStr"/>
      <c r="I73" s="2" t="inlineStr"/>
      <c r="J73" s="2" t="inlineStr"/>
      <c r="K73" s="2" t="inlineStr"/>
    </row>
    <row r="74">
      <c r="A74" s="2" t="inlineStr">
        <is>
          <t>A.8</t>
        </is>
      </c>
      <c r="B74" s="2" t="inlineStr">
        <is>
          <t>8.14</t>
        </is>
      </c>
      <c r="C74" s="2" t="inlineStr">
        <is>
          <t>Redundancy of information processing facilities</t>
        </is>
      </c>
      <c r="D74" s="2" t="inlineStr">
        <is>
          <t>Yes</t>
        </is>
      </c>
      <c r="E74" s="2" t="inlineStr">
        <is>
          <t>Critical SaaS services may require redundancy to support availability.</t>
        </is>
      </c>
      <c r="F74" s="2" t="inlineStr">
        <is>
          <t>Planned</t>
        </is>
      </c>
      <c r="G74" s="2" t="inlineStr">
        <is>
          <t>Information Security Policy</t>
        </is>
      </c>
      <c r="H74" s="2" t="inlineStr"/>
      <c r="I74" s="2" t="inlineStr"/>
      <c r="J74" s="2" t="inlineStr"/>
      <c r="K74" s="2" t="inlineStr"/>
    </row>
    <row r="75">
      <c r="A75" s="2" t="inlineStr">
        <is>
          <t>A.8</t>
        </is>
      </c>
      <c r="B75" s="2" t="inlineStr">
        <is>
          <t>8.15</t>
        </is>
      </c>
      <c r="C75" s="2" t="inlineStr">
        <is>
          <t>Logging</t>
        </is>
      </c>
      <c r="D75" s="2" t="inlineStr">
        <is>
          <t>Yes</t>
        </is>
      </c>
      <c r="E75" s="2" t="inlineStr">
        <is>
          <t>Logging supports security monitoring, investigation, and accountability.</t>
        </is>
      </c>
      <c r="F75" s="2" t="inlineStr">
        <is>
          <t>Partially Implemented</t>
        </is>
      </c>
      <c r="G75" s="2" t="inlineStr">
        <is>
          <t>Information Security Policy</t>
        </is>
      </c>
      <c r="H75" s="2" t="inlineStr"/>
      <c r="I75" s="2" t="inlineStr"/>
      <c r="J75" s="2" t="inlineStr"/>
      <c r="K75" s="2" t="inlineStr"/>
    </row>
    <row r="76">
      <c r="A76" s="2" t="inlineStr">
        <is>
          <t>A.8</t>
        </is>
      </c>
      <c r="B76" s="2" t="inlineStr">
        <is>
          <t>8.16</t>
        </is>
      </c>
      <c r="C76" s="2" t="inlineStr">
        <is>
          <t>Monitoring activities</t>
        </is>
      </c>
      <c r="D76" s="2" t="inlineStr">
        <is>
          <t>Yes</t>
        </is>
      </c>
      <c r="E76" s="2" t="inlineStr">
        <is>
          <t>Monitoring is required to detect relevant security events and operational anomalies.</t>
        </is>
      </c>
      <c r="F76" s="2" t="inlineStr">
        <is>
          <t>Partially Implemented</t>
        </is>
      </c>
      <c r="G76" s="2" t="inlineStr">
        <is>
          <t>Information Security Policy</t>
        </is>
      </c>
      <c r="H76" s="2" t="inlineStr"/>
      <c r="I76" s="2" t="inlineStr"/>
      <c r="J76" s="2" t="inlineStr"/>
      <c r="K76" s="2" t="inlineStr"/>
    </row>
    <row r="77">
      <c r="A77" s="2" t="inlineStr">
        <is>
          <t>A.8</t>
        </is>
      </c>
      <c r="B77" s="2" t="inlineStr">
        <is>
          <t>8.17</t>
        </is>
      </c>
      <c r="C77" s="2" t="inlineStr">
        <is>
          <t>Clock synchronization</t>
        </is>
      </c>
      <c r="D77" s="2" t="inlineStr">
        <is>
          <t>Yes</t>
        </is>
      </c>
      <c r="E77" s="2" t="inlineStr">
        <is>
          <t>Consistent time supports reliable logs and incident investigation.</t>
        </is>
      </c>
      <c r="F77" s="2" t="inlineStr">
        <is>
          <t>Planned</t>
        </is>
      </c>
      <c r="G77" s="2" t="inlineStr">
        <is>
          <t>Information Security Policy</t>
        </is>
      </c>
      <c r="H77" s="2" t="inlineStr"/>
      <c r="I77" s="2" t="inlineStr"/>
      <c r="J77" s="2" t="inlineStr"/>
      <c r="K77" s="2" t="inlineStr"/>
    </row>
    <row r="78">
      <c r="A78" s="2" t="inlineStr">
        <is>
          <t>A.8</t>
        </is>
      </c>
      <c r="B78" s="2" t="inlineStr">
        <is>
          <t>8.18</t>
        </is>
      </c>
      <c r="C78" s="2" t="inlineStr">
        <is>
          <t>Use of privileged utility programs</t>
        </is>
      </c>
      <c r="D78" s="2" t="inlineStr">
        <is>
          <t>Yes</t>
        </is>
      </c>
      <c r="E78" s="2" t="inlineStr">
        <is>
          <t>Privileged utilities can affect critical systems and require control.</t>
        </is>
      </c>
      <c r="F78" s="2" t="inlineStr">
        <is>
          <t>Planned</t>
        </is>
      </c>
      <c r="G78" s="2" t="inlineStr">
        <is>
          <t>Access Control Policy</t>
        </is>
      </c>
      <c r="H78" s="2" t="inlineStr"/>
      <c r="I78" s="2" t="inlineStr"/>
      <c r="J78" s="2" t="inlineStr"/>
      <c r="K78" s="2" t="inlineStr"/>
    </row>
    <row r="79">
      <c r="A79" s="2" t="inlineStr">
        <is>
          <t>A.8</t>
        </is>
      </c>
      <c r="B79" s="2" t="inlineStr">
        <is>
          <t>8.19</t>
        </is>
      </c>
      <c r="C79" s="2" t="inlineStr">
        <is>
          <t>Installation of software on operational systems</t>
        </is>
      </c>
      <c r="D79" s="2" t="inlineStr">
        <is>
          <t>Yes</t>
        </is>
      </c>
      <c r="E79" s="2" t="inlineStr">
        <is>
          <t>Software installation can introduce security and operational risk.</t>
        </is>
      </c>
      <c r="F79" s="2" t="inlineStr">
        <is>
          <t>Planned</t>
        </is>
      </c>
      <c r="G79" s="2" t="inlineStr">
        <is>
          <t>Information Security Policy</t>
        </is>
      </c>
      <c r="H79" s="2" t="inlineStr"/>
      <c r="I79" s="2" t="inlineStr"/>
      <c r="J79" s="2" t="inlineStr"/>
      <c r="K79" s="2" t="inlineStr"/>
    </row>
    <row r="80">
      <c r="A80" s="2" t="inlineStr">
        <is>
          <t>A.8</t>
        </is>
      </c>
      <c r="B80" s="2" t="inlineStr">
        <is>
          <t>8.20</t>
        </is>
      </c>
      <c r="C80" s="2" t="inlineStr">
        <is>
          <t>Networks security</t>
        </is>
      </c>
      <c r="D80" s="2" t="inlineStr">
        <is>
          <t>Yes</t>
        </is>
      </c>
      <c r="E80" s="2" t="inlineStr">
        <is>
          <t>Network security is relevant to cloud and corporate environments.</t>
        </is>
      </c>
      <c r="F80" s="2" t="inlineStr">
        <is>
          <t>Partially Implemented</t>
        </is>
      </c>
      <c r="G80" s="2" t="inlineStr">
        <is>
          <t>Information Security Policy</t>
        </is>
      </c>
      <c r="H80" s="2" t="inlineStr"/>
      <c r="I80" s="2" t="inlineStr"/>
      <c r="J80" s="2" t="inlineStr"/>
      <c r="K80" s="2" t="inlineStr"/>
    </row>
    <row r="81">
      <c r="A81" s="2" t="inlineStr">
        <is>
          <t>A.8</t>
        </is>
      </c>
      <c r="B81" s="2" t="inlineStr">
        <is>
          <t>8.21</t>
        </is>
      </c>
      <c r="C81" s="2" t="inlineStr">
        <is>
          <t>Security of network services</t>
        </is>
      </c>
      <c r="D81" s="2" t="inlineStr">
        <is>
          <t>Yes</t>
        </is>
      </c>
      <c r="E81" s="2" t="inlineStr">
        <is>
          <t>Network services supporting the SaaS environment require security requirements.</t>
        </is>
      </c>
      <c r="F81" s="2" t="inlineStr">
        <is>
          <t>Partially Implemented</t>
        </is>
      </c>
      <c r="G81" s="2" t="inlineStr">
        <is>
          <t>Information Security Policy</t>
        </is>
      </c>
      <c r="H81" s="2" t="inlineStr"/>
      <c r="I81" s="2" t="inlineStr"/>
      <c r="J81" s="2" t="inlineStr"/>
      <c r="K81" s="2" t="inlineStr"/>
    </row>
    <row r="82">
      <c r="A82" s="2" t="inlineStr">
        <is>
          <t>A.8</t>
        </is>
      </c>
      <c r="B82" s="2" t="inlineStr">
        <is>
          <t>8.22</t>
        </is>
      </c>
      <c r="C82" s="2" t="inlineStr">
        <is>
          <t>Segregation of networks</t>
        </is>
      </c>
      <c r="D82" s="2" t="inlineStr">
        <is>
          <t>Yes</t>
        </is>
      </c>
      <c r="E82" s="2" t="inlineStr">
        <is>
          <t>Network separation can reduce exposure between environments and systems.</t>
        </is>
      </c>
      <c r="F82" s="2" t="inlineStr">
        <is>
          <t>Planned</t>
        </is>
      </c>
      <c r="G82" s="2" t="inlineStr">
        <is>
          <t>Information Security Policy</t>
        </is>
      </c>
      <c r="H82" s="2" t="inlineStr"/>
      <c r="I82" s="2" t="inlineStr"/>
      <c r="J82" s="2" t="inlineStr"/>
      <c r="K82" s="2" t="inlineStr"/>
    </row>
    <row r="83">
      <c r="A83" s="2" t="inlineStr">
        <is>
          <t>A.8</t>
        </is>
      </c>
      <c r="B83" s="2" t="inlineStr">
        <is>
          <t>8.23</t>
        </is>
      </c>
      <c r="C83" s="2" t="inlineStr">
        <is>
          <t>Web filtering</t>
        </is>
      </c>
      <c r="D83" s="2" t="inlineStr">
        <is>
          <t>Yes</t>
        </is>
      </c>
      <c r="E83" s="2" t="inlineStr">
        <is>
          <t>Web filtering may be relevant to managed endpoints and remote users.</t>
        </is>
      </c>
      <c r="F83" s="2" t="inlineStr">
        <is>
          <t>Planned</t>
        </is>
      </c>
      <c r="G83" s="2" t="inlineStr">
        <is>
          <t>Information Security Policy</t>
        </is>
      </c>
      <c r="H83" s="2" t="inlineStr"/>
      <c r="I83" s="2" t="inlineStr"/>
      <c r="J83" s="2" t="inlineStr"/>
      <c r="K83" s="2" t="inlineStr"/>
    </row>
    <row r="84">
      <c r="A84" s="2" t="inlineStr">
        <is>
          <t>A.8</t>
        </is>
      </c>
      <c r="B84" s="2" t="inlineStr">
        <is>
          <t>8.24</t>
        </is>
      </c>
      <c r="C84" s="2" t="inlineStr">
        <is>
          <t>Use of cryptography</t>
        </is>
      </c>
      <c r="D84" s="2" t="inlineStr">
        <is>
          <t>Yes</t>
        </is>
      </c>
      <c r="E84" s="2" t="inlineStr">
        <is>
          <t>Cryptography is relevant to protecting data in transit and at rest.</t>
        </is>
      </c>
      <c r="F84" s="2" t="inlineStr">
        <is>
          <t>Partially Implemented</t>
        </is>
      </c>
      <c r="G84" s="2" t="inlineStr">
        <is>
          <t>Information Security Policy</t>
        </is>
      </c>
      <c r="H84" s="2" t="inlineStr"/>
      <c r="I84" s="2" t="inlineStr"/>
      <c r="J84" s="2" t="inlineStr"/>
      <c r="K84" s="2" t="inlineStr"/>
    </row>
    <row r="85">
      <c r="A85" s="2" t="inlineStr">
        <is>
          <t>A.8</t>
        </is>
      </c>
      <c r="B85" s="2" t="inlineStr">
        <is>
          <t>8.25</t>
        </is>
      </c>
      <c r="C85" s="2" t="inlineStr">
        <is>
          <t>Secure development life cycle</t>
        </is>
      </c>
      <c r="D85" s="2" t="inlineStr">
        <is>
          <t>Yes</t>
        </is>
      </c>
      <c r="E85" s="2" t="inlineStr">
        <is>
          <t>Axiom develops and operates a cloud SaaS platform.</t>
        </is>
      </c>
      <c r="F85" s="2" t="inlineStr">
        <is>
          <t>Partially Implemented</t>
        </is>
      </c>
      <c r="G85" s="2" t="inlineStr">
        <is>
          <t>Information Security Policy</t>
        </is>
      </c>
      <c r="H85" s="2" t="inlineStr"/>
      <c r="I85" s="2" t="inlineStr"/>
      <c r="J85" s="2" t="inlineStr"/>
      <c r="K85" s="2" t="inlineStr"/>
    </row>
    <row r="86">
      <c r="A86" s="2" t="inlineStr">
        <is>
          <t>A.8</t>
        </is>
      </c>
      <c r="B86" s="2" t="inlineStr">
        <is>
          <t>8.26</t>
        </is>
      </c>
      <c r="C86" s="2" t="inlineStr">
        <is>
          <t>Application security requirements</t>
        </is>
      </c>
      <c r="D86" s="2" t="inlineStr">
        <is>
          <t>Yes</t>
        </is>
      </c>
      <c r="E86" s="2" t="inlineStr">
        <is>
          <t>Security requirements should be defined for applications and changes.</t>
        </is>
      </c>
      <c r="F86" s="2" t="inlineStr">
        <is>
          <t>Partially Implemented</t>
        </is>
      </c>
      <c r="G86" s="2" t="inlineStr">
        <is>
          <t>Information Security Policy</t>
        </is>
      </c>
      <c r="H86" s="2" t="inlineStr"/>
      <c r="I86" s="2" t="inlineStr"/>
      <c r="J86" s="2" t="inlineStr"/>
      <c r="K86" s="2" t="inlineStr"/>
    </row>
    <row r="87">
      <c r="A87" s="2" t="inlineStr">
        <is>
          <t>A.8</t>
        </is>
      </c>
      <c r="B87" s="2" t="inlineStr">
        <is>
          <t>8.27</t>
        </is>
      </c>
      <c r="C87" s="2" t="inlineStr">
        <is>
          <t>Secure system architecture and engineering principles</t>
        </is>
      </c>
      <c r="D87" s="2" t="inlineStr">
        <is>
          <t>Yes</t>
        </is>
      </c>
      <c r="E87" s="2" t="inlineStr">
        <is>
          <t>Cloud and application architecture should incorporate security principles.</t>
        </is>
      </c>
      <c r="F87" s="2" t="inlineStr">
        <is>
          <t>Planned</t>
        </is>
      </c>
      <c r="G87" s="2" t="inlineStr">
        <is>
          <t>Information Security Policy</t>
        </is>
      </c>
      <c r="H87" s="2" t="inlineStr"/>
      <c r="I87" s="2" t="inlineStr"/>
      <c r="J87" s="2" t="inlineStr"/>
      <c r="K87" s="2" t="inlineStr"/>
    </row>
    <row r="88">
      <c r="A88" s="2" t="inlineStr">
        <is>
          <t>A.8</t>
        </is>
      </c>
      <c r="B88" s="2" t="inlineStr">
        <is>
          <t>8.28</t>
        </is>
      </c>
      <c r="C88" s="2" t="inlineStr">
        <is>
          <t>Secure coding</t>
        </is>
      </c>
      <c r="D88" s="2" t="inlineStr">
        <is>
          <t>Yes</t>
        </is>
      </c>
      <c r="E88" s="2" t="inlineStr">
        <is>
          <t>Source code security is relevant to the software development lifecycle.</t>
        </is>
      </c>
      <c r="F88" s="2" t="inlineStr">
        <is>
          <t>Planned</t>
        </is>
      </c>
      <c r="G88" s="2" t="inlineStr">
        <is>
          <t>Information Security Policy</t>
        </is>
      </c>
      <c r="H88" s="2" t="inlineStr"/>
      <c r="I88" s="2" t="inlineStr"/>
      <c r="J88" s="2" t="inlineStr"/>
      <c r="K88" s="2" t="inlineStr"/>
    </row>
    <row r="89">
      <c r="A89" s="2" t="inlineStr">
        <is>
          <t>A.8</t>
        </is>
      </c>
      <c r="B89" s="2" t="inlineStr">
        <is>
          <t>8.29</t>
        </is>
      </c>
      <c r="C89" s="2" t="inlineStr">
        <is>
          <t>Security testing in development and acceptance</t>
        </is>
      </c>
      <c r="D89" s="2" t="inlineStr">
        <is>
          <t>Yes</t>
        </is>
      </c>
      <c r="E89" s="2" t="inlineStr">
        <is>
          <t>Security testing supports secure releases and changes.</t>
        </is>
      </c>
      <c r="F89" s="2" t="inlineStr">
        <is>
          <t>Planned</t>
        </is>
      </c>
      <c r="G89" s="2" t="inlineStr">
        <is>
          <t>Information Security Policy</t>
        </is>
      </c>
      <c r="H89" s="2" t="inlineStr"/>
      <c r="I89" s="2" t="inlineStr"/>
      <c r="J89" s="2" t="inlineStr"/>
      <c r="K89" s="2" t="inlineStr"/>
    </row>
    <row r="90">
      <c r="A90" s="2" t="inlineStr">
        <is>
          <t>A.8</t>
        </is>
      </c>
      <c r="B90" s="2" t="inlineStr">
        <is>
          <t>8.30</t>
        </is>
      </c>
      <c r="C90" s="2" t="inlineStr">
        <is>
          <t>Outsourced development</t>
        </is>
      </c>
      <c r="D90" s="2" t="inlineStr">
        <is>
          <t>Yes</t>
        </is>
      </c>
      <c r="E90" s="2" t="inlineStr">
        <is>
          <t>Applicability depends on whether development activities are outsourced; this is retained as applicable pending confirmation of the vendor model.</t>
        </is>
      </c>
      <c r="F90" s="2" t="inlineStr">
        <is>
          <t>Planned</t>
        </is>
      </c>
      <c r="G90" s="2" t="inlineStr">
        <is>
          <t>Third-Party Security Policy</t>
        </is>
      </c>
      <c r="H90" s="2" t="inlineStr"/>
      <c r="I90" s="2" t="inlineStr"/>
      <c r="J90" s="2" t="inlineStr"/>
      <c r="K90" s="2" t="inlineStr"/>
    </row>
    <row r="91">
      <c r="A91" s="2" t="inlineStr">
        <is>
          <t>A.8</t>
        </is>
      </c>
      <c r="B91" s="2" t="inlineStr">
        <is>
          <t>8.31</t>
        </is>
      </c>
      <c r="C91" s="2" t="inlineStr">
        <is>
          <t>Separation of development, test and production environments</t>
        </is>
      </c>
      <c r="D91" s="2" t="inlineStr">
        <is>
          <t>Yes</t>
        </is>
      </c>
      <c r="E91" s="2" t="inlineStr">
        <is>
          <t>Environment separation reduces the risk of unintended production impact and data exposure.</t>
        </is>
      </c>
      <c r="F91" s="2" t="inlineStr">
        <is>
          <t>Planned</t>
        </is>
      </c>
      <c r="G91" s="2" t="inlineStr">
        <is>
          <t>Information Security Policy</t>
        </is>
      </c>
      <c r="H91" s="2" t="inlineStr"/>
      <c r="I91" s="2" t="inlineStr"/>
      <c r="J91" s="2" t="inlineStr"/>
      <c r="K91" s="2" t="inlineStr"/>
    </row>
    <row r="92">
      <c r="A92" s="2" t="inlineStr">
        <is>
          <t>A.8</t>
        </is>
      </c>
      <c r="B92" s="2" t="inlineStr">
        <is>
          <t>8.32</t>
        </is>
      </c>
      <c r="C92" s="2" t="inlineStr">
        <is>
          <t>Change management</t>
        </is>
      </c>
      <c r="D92" s="2" t="inlineStr">
        <is>
          <t>Yes</t>
        </is>
      </c>
      <c r="E92" s="2" t="inlineStr">
        <is>
          <t>Changes to cloud, application, and security environments require controlled change processes.</t>
        </is>
      </c>
      <c r="F92" s="2" t="inlineStr">
        <is>
          <t>Planned</t>
        </is>
      </c>
      <c r="G92" s="2" t="inlineStr">
        <is>
          <t>Information Security Policy</t>
        </is>
      </c>
      <c r="H92" s="2" t="inlineStr"/>
      <c r="I92" s="2" t="inlineStr"/>
      <c r="J92" s="2" t="inlineStr"/>
      <c r="K92" s="2" t="inlineStr"/>
    </row>
    <row r="93">
      <c r="A93" s="2" t="inlineStr">
        <is>
          <t>A.8</t>
        </is>
      </c>
      <c r="B93" s="2" t="inlineStr">
        <is>
          <t>8.33</t>
        </is>
      </c>
      <c r="C93" s="2" t="inlineStr">
        <is>
          <t>Test information</t>
        </is>
      </c>
      <c r="D93" s="2" t="inlineStr">
        <is>
          <t>Yes</t>
        </is>
      </c>
      <c r="E93" s="2" t="inlineStr">
        <is>
          <t>Test data must be controlled to prevent inappropriate exposure of sensitive information.</t>
        </is>
      </c>
      <c r="F93" s="2" t="inlineStr">
        <is>
          <t>Planned</t>
        </is>
      </c>
      <c r="G93" s="2" t="inlineStr">
        <is>
          <t>Information Security Policy</t>
        </is>
      </c>
      <c r="H93" s="2" t="inlineStr"/>
      <c r="I93" s="2" t="inlineStr"/>
      <c r="J93" s="2" t="inlineStr"/>
      <c r="K93" s="2" t="inlineStr"/>
    </row>
    <row r="94">
      <c r="A94" s="2" t="inlineStr">
        <is>
          <t>A.8</t>
        </is>
      </c>
      <c r="B94" s="2" t="inlineStr">
        <is>
          <t>8.34</t>
        </is>
      </c>
      <c r="C94" s="2" t="inlineStr">
        <is>
          <t>Protection of information systems during audit testing</t>
        </is>
      </c>
      <c r="D94" s="2" t="inlineStr">
        <is>
          <t>Yes</t>
        </is>
      </c>
      <c r="E94" s="2" t="inlineStr">
        <is>
          <t>Audit and assessment activities must avoid unacceptable impact to production systems and information.</t>
        </is>
      </c>
      <c r="F94" s="2" t="inlineStr">
        <is>
          <t>Planned</t>
        </is>
      </c>
      <c r="G94" s="2" t="inlineStr">
        <is>
          <t>ISMS Roles &amp; Responsibilities</t>
        </is>
      </c>
      <c r="H94" s="2" t="inlineStr"/>
      <c r="I94" s="2" t="inlineStr"/>
      <c r="J94" s="2" t="inlineStr"/>
      <c r="K94" s="2" t="inlineStr"/>
    </row>
  </sheetData>
  <autoFilter ref="A1:K94"/>
  <dataValidations count="2">
    <dataValidation sqref="D2:D94" showDropDown="0" showInputMessage="0" showErrorMessage="0" allowBlank="0" type="list">
      <formula1>"Yes,No"</formula1>
    </dataValidation>
    <dataValidation sqref="F2:F94" showDropDown="0" showInputMessage="0" showErrorMessage="0" allowBlank="0" type="list">
      <formula1>"Implemented,Partially Implemented,Planned,Not 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3" t="inlineStr">
        <is>
          <t>Axiom AI Technologies — Statement of Applicability Summary</t>
        </is>
      </c>
    </row>
    <row r="2">
      <c r="A2" t="inlineStr">
        <is>
          <t>Framework</t>
        </is>
      </c>
      <c r="B2" t="inlineStr">
        <is>
          <t>ISO/IEC 27001:2022 Annex A</t>
        </is>
      </c>
    </row>
    <row r="3">
      <c r="A3" t="inlineStr">
        <is>
          <t>Total Annex A Controls</t>
        </is>
      </c>
      <c r="B3" t="n">
        <v>93</v>
      </c>
    </row>
    <row r="4">
      <c r="A4" t="inlineStr">
        <is>
          <t>Applicable Controls</t>
        </is>
      </c>
      <c r="B4">
        <f>COUNTIF('Statement of Applicability'!D2:D94,"Yes")</f>
        <v/>
      </c>
    </row>
    <row r="5">
      <c r="A5" t="inlineStr">
        <is>
          <t>Not Applicable Controls</t>
        </is>
      </c>
      <c r="B5">
        <f>COUNTIF('Statement of Applicability'!D2:D94,"No")</f>
        <v/>
      </c>
    </row>
    <row r="6">
      <c r="A6" t="inlineStr">
        <is>
          <t>Implemented</t>
        </is>
      </c>
      <c r="B6">
        <f>COUNTIF('Statement of Applicability'!F2:F94,"Implemented")</f>
        <v/>
      </c>
    </row>
    <row r="7">
      <c r="A7" t="inlineStr">
        <is>
          <t>Partially Implemented</t>
        </is>
      </c>
      <c r="B7">
        <f>COUNTIF('Statement of Applicability'!F2:F94,"Partially Implemented")</f>
        <v/>
      </c>
    </row>
    <row r="8">
      <c r="A8" t="inlineStr">
        <is>
          <t>Planned</t>
        </is>
      </c>
      <c r="B8">
        <f>COUNTIF('Statement of Applicability'!F2:F94,"Planned")</f>
        <v/>
      </c>
    </row>
    <row r="9">
      <c r="A9" t="inlineStr">
        <is>
          <t>Implementation rate of applicable controls</t>
        </is>
      </c>
      <c r="B9" s="4">
        <f>IF(B4=0,0,B6/B4)</f>
        <v/>
      </c>
    </row>
    <row r="11">
      <c r="A11" s="3" t="inlineStr">
        <is>
          <t>Domain</t>
        </is>
      </c>
      <c r="B11" s="3" t="inlineStr">
        <is>
          <t>Control Count</t>
        </is>
      </c>
      <c r="C11" s="3" t="inlineStr">
        <is>
          <t>Applicable</t>
        </is>
      </c>
      <c r="D11" s="3" t="inlineStr">
        <is>
          <t>Implemented</t>
        </is>
      </c>
      <c r="E11" s="3" t="inlineStr">
        <is>
          <t>Partially Implemented</t>
        </is>
      </c>
      <c r="F11" s="3" t="inlineStr">
        <is>
          <t>Planned</t>
        </is>
      </c>
    </row>
    <row r="12">
      <c r="A12" t="inlineStr">
        <is>
          <t>A.5</t>
        </is>
      </c>
      <c r="B12">
        <f>COUNTIF('Statement of Applicability'!A2:A94,A12)</f>
        <v/>
      </c>
      <c r="C12">
        <f>COUNTIFS('Statement of Applicability'!A2:A94,A12,'Statement of Applicability'!D2:D94,"Yes")</f>
        <v/>
      </c>
      <c r="D12">
        <f>COUNTIFS('Statement of Applicability'!A2:A94,A12,'Statement of Applicability'!F2:F94,"Implemented")</f>
        <v/>
      </c>
      <c r="E12">
        <f>COUNTIFS('Statement of Applicability'!A2:A94,A12,'Statement of Applicability'!F2:F94,"Partially Implemented")</f>
        <v/>
      </c>
      <c r="F12">
        <f>COUNTIFS('Statement of Applicability'!A2:A94,A12,'Statement of Applicability'!F2:F94,"Planned")</f>
        <v/>
      </c>
    </row>
    <row r="13">
      <c r="A13" t="inlineStr">
        <is>
          <t>A.6</t>
        </is>
      </c>
      <c r="B13">
        <f>COUNTIF('Statement of Applicability'!A2:A94,A13)</f>
        <v/>
      </c>
      <c r="C13">
        <f>COUNTIFS('Statement of Applicability'!A2:A94,A13,'Statement of Applicability'!D2:D94,"Yes")</f>
        <v/>
      </c>
      <c r="D13">
        <f>COUNTIFS('Statement of Applicability'!A2:A94,A13,'Statement of Applicability'!F2:F94,"Implemented")</f>
        <v/>
      </c>
      <c r="E13">
        <f>COUNTIFS('Statement of Applicability'!A2:A94,A13,'Statement of Applicability'!F2:F94,"Partially Implemented")</f>
        <v/>
      </c>
      <c r="F13">
        <f>COUNTIFS('Statement of Applicability'!A2:A94,A13,'Statement of Applicability'!F2:F94,"Planned")</f>
        <v/>
      </c>
    </row>
    <row r="14">
      <c r="A14" t="inlineStr">
        <is>
          <t>A.7</t>
        </is>
      </c>
      <c r="B14">
        <f>COUNTIF('Statement of Applicability'!A2:A94,A14)</f>
        <v/>
      </c>
      <c r="C14">
        <f>COUNTIFS('Statement of Applicability'!A2:A94,A14,'Statement of Applicability'!D2:D94,"Yes")</f>
        <v/>
      </c>
      <c r="D14">
        <f>COUNTIFS('Statement of Applicability'!A2:A94,A14,'Statement of Applicability'!F2:F94,"Implemented")</f>
        <v/>
      </c>
      <c r="E14">
        <f>COUNTIFS('Statement of Applicability'!A2:A94,A14,'Statement of Applicability'!F2:F94,"Partially Implemented")</f>
        <v/>
      </c>
      <c r="F14">
        <f>COUNTIFS('Statement of Applicability'!A2:A94,A14,'Statement of Applicability'!F2:F94,"Planned")</f>
        <v/>
      </c>
    </row>
    <row r="15">
      <c r="A15" t="inlineStr">
        <is>
          <t>A.8</t>
        </is>
      </c>
      <c r="B15">
        <f>COUNTIF('Statement of Applicability'!A2:A94,A15)</f>
        <v/>
      </c>
      <c r="C15">
        <f>COUNTIFS('Statement of Applicability'!A2:A94,A15,'Statement of Applicability'!D2:D94,"Yes")</f>
        <v/>
      </c>
      <c r="D15">
        <f>COUNTIFS('Statement of Applicability'!A2:A94,A15,'Statement of Applicability'!F2:F94,"Implemented")</f>
        <v/>
      </c>
      <c r="E15">
        <f>COUNTIFS('Statement of Applicability'!A2:A94,A15,'Statement of Applicability'!F2:F94,"Partially Implemented")</f>
        <v/>
      </c>
      <c r="F15">
        <f>COUNTIFS('Statement of Applicability'!A2:A94,A15,'Statement of Applicability'!F2:F94,"Planned")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60" customWidth="1" min="3" max="3"/>
  </cols>
  <sheetData>
    <row r="1">
      <c r="A1" s="5" t="inlineStr">
        <is>
          <t>Policy / ISMS Artifact</t>
        </is>
      </c>
      <c r="B1" s="5" t="inlineStr">
        <is>
          <t>Primary Annex A Controls</t>
        </is>
      </c>
      <c r="C1" s="5" t="inlineStr">
        <is>
          <t>Purpose</t>
        </is>
      </c>
    </row>
    <row r="2">
      <c r="A2" s="6" t="inlineStr">
        <is>
          <t>Information Security Policy</t>
        </is>
      </c>
      <c r="B2" s="6" t="inlineStr">
        <is>
          <t>A.5.1, A.5.5–A.5.8, A.5.10, A.5.12–A.5.14, A.5.29–A.5.37, A.6.7, A.7.1–A.7.7, A.8.6–A.8.17, A.8.19–A.8.34</t>
        </is>
      </c>
      <c r="C2" s="6" t="inlineStr">
        <is>
          <t>Core security requirements and governance framework</t>
        </is>
      </c>
    </row>
    <row r="3">
      <c r="A3" s="6" t="inlineStr">
        <is>
          <t>Access Control Policy</t>
        </is>
      </c>
      <c r="B3" s="6" t="inlineStr">
        <is>
          <t>A.5.15–A.5.18, A.8.1–A.8.5, A.8.18</t>
        </is>
      </c>
      <c r="C3" s="6" t="inlineStr">
        <is>
          <t>Identity, authentication, access rights, and privileged access</t>
        </is>
      </c>
    </row>
    <row r="4">
      <c r="A4" s="6" t="inlineStr">
        <is>
          <t>Incident Response Policy</t>
        </is>
      </c>
      <c r="B4" s="6" t="inlineStr">
        <is>
          <t>A.5.24–A.5.29, A.6.8</t>
        </is>
      </c>
      <c r="C4" s="6" t="inlineStr">
        <is>
          <t>Incident planning, reporting, response, evidence, and lessons learned</t>
        </is>
      </c>
    </row>
    <row r="5">
      <c r="A5" s="6" t="inlineStr">
        <is>
          <t>Asset Management Policy</t>
        </is>
      </c>
      <c r="B5" s="6" t="inlineStr">
        <is>
          <t>A.5.9–A.5.13, A.7.8–A.7.14</t>
        </is>
      </c>
      <c r="C5" s="6" t="inlineStr">
        <is>
          <t>Asset ownership, classification, handling, protection, and disposal</t>
        </is>
      </c>
    </row>
    <row r="6">
      <c r="A6" s="6" t="inlineStr">
        <is>
          <t>Third-Party Security Policy</t>
        </is>
      </c>
      <c r="B6" s="6" t="inlineStr">
        <is>
          <t>A.5.19–A.5.23, A.6.6, A.8.30</t>
        </is>
      </c>
      <c r="C6" s="6" t="inlineStr">
        <is>
          <t>Supplier security, contracts, cloud services, and outsourced development</t>
        </is>
      </c>
    </row>
    <row r="7">
      <c r="A7" s="6" t="inlineStr">
        <is>
          <t>ISMS Scope Statement</t>
        </is>
      </c>
      <c r="B7" s="6" t="inlineStr">
        <is>
          <t>ISO/IEC 27001 Clause 4.3</t>
        </is>
      </c>
      <c r="C7" s="6" t="inlineStr">
        <is>
          <t>Defines ISMS boundaries and applicability</t>
        </is>
      </c>
    </row>
    <row r="8">
      <c r="A8" s="6" t="inlineStr">
        <is>
          <t>ISMS Objectives</t>
        </is>
      </c>
      <c r="B8" s="6" t="inlineStr">
        <is>
          <t>ISO/IEC 27001 Clause 6.2</t>
        </is>
      </c>
      <c r="C8" s="6" t="inlineStr">
        <is>
          <t>Defines measurable information security objectives</t>
        </is>
      </c>
    </row>
    <row r="9">
      <c r="A9" s="6" t="inlineStr">
        <is>
          <t>ISMS Roles &amp; Responsibilities</t>
        </is>
      </c>
      <c r="B9" s="6" t="inlineStr">
        <is>
          <t>A.5.2–A.5.4, A.5.35, A.8.34</t>
        </is>
      </c>
      <c r="C9" s="6" t="inlineStr">
        <is>
          <t>Defines ownership, accountability, segregation, and review responsibilities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Purpose</t>
        </is>
      </c>
      <c r="B1" s="6" t="inlineStr">
        <is>
          <t>Portfolio demonstration of an ISO/IEC 27001:2022 Statement of Applicability for the fictional Axiom AI Technologies environment.</t>
        </is>
      </c>
    </row>
    <row r="2">
      <c r="A2" s="6" t="inlineStr">
        <is>
          <t>Classification</t>
        </is>
      </c>
      <c r="B2" s="6" t="inlineStr">
        <is>
          <t>Internal Use</t>
        </is>
      </c>
    </row>
    <row r="3">
      <c r="A3" s="6" t="inlineStr">
        <is>
          <t>Important</t>
        </is>
      </c>
      <c r="B3" s="6" t="inlineStr">
        <is>
          <t>Applicability and implementation status are portfolio assumptions based on the documented Axiom environment and should not be represented as an actual certification assessment.</t>
        </is>
      </c>
    </row>
    <row r="4">
      <c r="A4" s="6" t="inlineStr">
        <is>
          <t>Standard basis</t>
        </is>
      </c>
      <c r="B4" s="6" t="inlineStr">
        <is>
          <t>The 2022 Annex A catalogue contains 93 controls across Organizational (A.5), People (A.6), Physical (A.7), and Technological (A.8) themes.</t>
        </is>
      </c>
    </row>
    <row r="5">
      <c r="A5" s="6" t="inlineStr">
        <is>
          <t>Assessment linkage</t>
        </is>
      </c>
      <c r="B5" s="6" t="inlineStr">
        <is>
          <t>The workbook includes policy mapping fields and placeholders for related risks/findings, control owners, and evidence so the existing 40-control assessment can be linked without inventing unsupported control IDs.</t>
        </is>
      </c>
    </row>
    <row r="6">
      <c r="A6" s="6" t="inlineStr">
        <is>
          <t>Status meaning</t>
        </is>
      </c>
      <c r="B6" s="6" t="inlineStr">
        <is>
          <t>Implemented = evidence/documentation indicates the control is established; Partially Implemented = some implementation exists but gaps remain; Planned = applicable but implementation evidence is not yet established.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2026-09-25T02:18:52Z</dcterms:created>
  <dcterms:modified xmlns:dcterms="http://purl.org/dc/terms/" xmlns:xsi="http://www.w3.org/2001/XMLSchema-instance" xsi:type="dcterms:W3CDTF">2026-09-25T02:18:52Z</dcterms:modified>
</cp:coreProperties>
</file>