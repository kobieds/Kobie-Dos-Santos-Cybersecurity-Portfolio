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liance Assessment" sheetId="1" state="visible" r:id="rId3"/>
    <sheet name="Summary Dashboard" sheetId="2" state="visible" r:id="rId4"/>
    <sheet name="Findings &amp; Remediation" sheetId="3" state="visible" r:id="rId5"/>
    <sheet name="Framework Mapping" sheetId="4" state="visible" r:id="rId6"/>
    <sheet name="Evidence Register" sheetId="5" state="visible" r:id="rId7"/>
    <sheet name="Assessment Metadata" sheetId="6" state="visible" r:id="rId8"/>
  </sheets>
  <definedNames>
    <definedName function="false" hidden="true" localSheetId="0" name="_xlnm._FilterDatabase" vbProcedure="false">'Compliance Assessment'!$A$4:$Q$47</definedName>
    <definedName function="false" hidden="true" localSheetId="4" name="_xlnm._FilterDatabase" vbProcedure="false">'Evidence Register'!$A$1:$F$21</definedName>
    <definedName function="false" hidden="true" localSheetId="2" name="_xlnm._FilterDatabase" vbProcedure="false">'Findings &amp; Remediation'!$A$1:$H$19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<sst xmlns="http://schemas.openxmlformats.org/spreadsheetml/2006/main" count="1119" uniqueCount="619">
  <si>
    <t xml:space="preserve">Axiom AI Technologies — Compliance Assessment Workbook (AAX-COMP-2026-001)</t>
  </si>
  <si>
    <t xml:space="preserve">Primary framework: ISO/IEC 27001:2022 | Supporting: NIST CSF 2.0, NIST SP 800-53 | Status: In Progress | Simulated portfolio case study</t>
  </si>
  <si>
    <t xml:space="preserve">Requirement ID</t>
  </si>
  <si>
    <t xml:space="preserve">Framework</t>
  </si>
  <si>
    <t xml:space="preserve">Reference</t>
  </si>
  <si>
    <t xml:space="preserve">Domain</t>
  </si>
  <si>
    <t xml:space="preserve">Requirement</t>
  </si>
  <si>
    <t xml:space="preserve">Axiom Control / Process</t>
  </si>
  <si>
    <t xml:space="preserve">Related Policy / Artifact</t>
  </si>
  <si>
    <t xml:space="preserve">Evidence</t>
  </si>
  <si>
    <t xml:space="preserve">Evidence Rating</t>
  </si>
  <si>
    <t xml:space="preserve">Compliance Status</t>
  </si>
  <si>
    <t xml:space="preserve">Risk Rating</t>
  </si>
  <si>
    <t xml:space="preserve">Control Owner</t>
  </si>
  <si>
    <t xml:space="preserve">Gap / Observation</t>
  </si>
  <si>
    <t xml:space="preserve">Remediation Required</t>
  </si>
  <si>
    <t xml:space="preserve">Target Date</t>
  </si>
  <si>
    <t xml:space="preserve">Validation Status</t>
  </si>
  <si>
    <t xml:space="preserve">Notes</t>
  </si>
  <si>
    <t xml:space="preserve">ISO/IEC 27001:2022 Requirements (Clauses 4–9)</t>
  </si>
  <si>
    <t xml:space="preserve">ISO-01</t>
  </si>
  <si>
    <t xml:space="preserve">ISO 27001</t>
  </si>
  <si>
    <t xml:space="preserve">Clause 4.1</t>
  </si>
  <si>
    <t xml:space="preserve">Context</t>
  </si>
  <si>
    <t xml:space="preserve">The organization identifies internal and external issues relevant to the ISMS.</t>
  </si>
  <si>
    <t xml:space="preserve">ISMS Context Management</t>
  </si>
  <si>
    <t xml:space="preserve">ISMS Scope Statement</t>
  </si>
  <si>
    <t xml:space="preserve">Documented organizational context and ISMS scope</t>
  </si>
  <si>
    <t xml:space="preserve">Strong</t>
  </si>
  <si>
    <t xml:space="preserve">Compliant</t>
  </si>
  <si>
    <t xml:space="preserve">Low</t>
  </si>
  <si>
    <t xml:space="preserve">ISMS Owner</t>
  </si>
  <si>
    <t xml:space="preserve">No significant gap identified.</t>
  </si>
  <si>
    <t xml:space="preserve">No</t>
  </si>
  <si>
    <t xml:space="preserve">Validated</t>
  </si>
  <si>
    <t xml:space="preserve">Review annually and following significant organizational changes.</t>
  </si>
  <si>
    <t xml:space="preserve">ISO-02</t>
  </si>
  <si>
    <t xml:space="preserve">Clause 4.2</t>
  </si>
  <si>
    <t xml:space="preserve">Interested Parties</t>
  </si>
  <si>
    <t xml:space="preserve">Relevant interested parties and their information-security requirements are identified.</t>
  </si>
  <si>
    <t xml:space="preserve">Interested Party Management</t>
  </si>
  <si>
    <t xml:space="preserve">ISMS Scope Statement; Stakeholder Requirements</t>
  </si>
  <si>
    <t xml:space="preserve">Customer, employee, regulatory, supplier, and management requirements</t>
  </si>
  <si>
    <t xml:space="preserve">Adequate</t>
  </si>
  <si>
    <t xml:space="preserve">Stakeholder requirements are documented but should be reviewed alongside contractual changes.</t>
  </si>
  <si>
    <t xml:space="preserve">Include regulatory and contractual requirements in annual review.</t>
  </si>
  <si>
    <t xml:space="preserve">ISO-03</t>
  </si>
  <si>
    <t xml:space="preserve">Clause 4.3</t>
  </si>
  <si>
    <t xml:space="preserve">ISMS Scope</t>
  </si>
  <si>
    <t xml:space="preserve">The organization determines the boundaries and applicability of the ISMS.</t>
  </si>
  <si>
    <t xml:space="preserve">ISMS Scope Management</t>
  </si>
  <si>
    <t xml:space="preserve">Approved ISMS scope statement</t>
  </si>
  <si>
    <t xml:space="preserve">No material gap identified.</t>
  </si>
  <si>
    <t xml:space="preserve">Scope must be reassessed after material business or technology changes.</t>
  </si>
  <si>
    <t xml:space="preserve">ISO-04</t>
  </si>
  <si>
    <t xml:space="preserve">Clause 5.1</t>
  </si>
  <si>
    <t xml:space="preserve">Leadership</t>
  </si>
  <si>
    <t xml:space="preserve">Leadership demonstrates commitment to the ISMS.</t>
  </si>
  <si>
    <t xml:space="preserve">Management Oversight</t>
  </si>
  <si>
    <t xml:space="preserve">Security Governance Framework; Management Review</t>
  </si>
  <si>
    <t xml:space="preserve">Governance records and management review documentation</t>
  </si>
  <si>
    <t xml:space="preserve">Partially Compliant</t>
  </si>
  <si>
    <t xml:space="preserve">Moderate</t>
  </si>
  <si>
    <t xml:space="preserve">Executive Management</t>
  </si>
  <si>
    <t xml:space="preserve">Management oversight exists, but governance decisions are not consistently centralized.</t>
  </si>
  <si>
    <t xml:space="preserve">Yes</t>
  </si>
  <si>
    <t xml:space="preserve">In Progress</t>
  </si>
  <si>
    <t xml:space="preserve">Establish a centralized governance decision and action log.</t>
  </si>
  <si>
    <t xml:space="preserve">ISO-05</t>
  </si>
  <si>
    <t xml:space="preserve">Clause 5.2</t>
  </si>
  <si>
    <t xml:space="preserve">Policy</t>
  </si>
  <si>
    <t xml:space="preserve">An information-security policy is established, implemented, maintained, and communicated.</t>
  </si>
  <si>
    <t xml:space="preserve">Security Policy Management</t>
  </si>
  <si>
    <t xml:space="preserve">Information Security Policy</t>
  </si>
  <si>
    <t xml:space="preserve">Approved information-security policy</t>
  </si>
  <si>
    <t xml:space="preserve">Policy framework is established.</t>
  </si>
  <si>
    <t xml:space="preserve">Annual policy review required.</t>
  </si>
  <si>
    <t xml:space="preserve">ISO-06</t>
  </si>
  <si>
    <t xml:space="preserve">Clause 5.3</t>
  </si>
  <si>
    <t xml:space="preserve">Roles and Responsibilities</t>
  </si>
  <si>
    <t xml:space="preserve">Roles, responsibilities, and authorities relevant to information security are assigned.</t>
  </si>
  <si>
    <t xml:space="preserve">Security Roles and Responsibilities</t>
  </si>
  <si>
    <t xml:space="preserve">Roles &amp; Responsibilities; Security Governance Framework</t>
  </si>
  <si>
    <t xml:space="preserve">Defined governance and control ownership structure</t>
  </si>
  <si>
    <t xml:space="preserve">Core responsibilities are assigned, but some supporting control ownership requires further formalization.</t>
  </si>
  <si>
    <t xml:space="preserve">Complete control-owner mapping.</t>
  </si>
  <si>
    <t xml:space="preserve">ISO-07</t>
  </si>
  <si>
    <t xml:space="preserve">Clause 6.1</t>
  </si>
  <si>
    <t xml:space="preserve">Risk Management</t>
  </si>
  <si>
    <t xml:space="preserve">Information-security risks and opportunities are addressed through a defined process.</t>
  </si>
  <si>
    <t xml:space="preserve">Information Security Risk Management</t>
  </si>
  <si>
    <t xml:space="preserve">Risk Register; Risk Assessment</t>
  </si>
  <si>
    <t xml:space="preserve">Risk register and risk treatment records</t>
  </si>
  <si>
    <t xml:space="preserve">Security/GRC</t>
  </si>
  <si>
    <t xml:space="preserve">Risk management process is established.</t>
  </si>
  <si>
    <t xml:space="preserve">Continue periodic risk reassessment.</t>
  </si>
  <si>
    <t xml:space="preserve">ISO-08</t>
  </si>
  <si>
    <t xml:space="preserve">Clause 6.2</t>
  </si>
  <si>
    <t xml:space="preserve">Security Objectives</t>
  </si>
  <si>
    <t xml:space="preserve">Information-security objectives are established and monitored.</t>
  </si>
  <si>
    <t xml:space="preserve">Security Objectives Management</t>
  </si>
  <si>
    <t xml:space="preserve">Security Objectives; KPI/KRI Dashboard</t>
  </si>
  <si>
    <t xml:space="preserve">Defined objectives and management metrics</t>
  </si>
  <si>
    <t xml:space="preserve">Objectives exist but measurement consistency requires improvement.</t>
  </si>
  <si>
    <t xml:space="preserve">Establish consistent objective owners and reporting frequency.</t>
  </si>
  <si>
    <t xml:space="preserve">ISO-09</t>
  </si>
  <si>
    <t xml:space="preserve">Clause 7.2</t>
  </si>
  <si>
    <t xml:space="preserve">Competence</t>
  </si>
  <si>
    <t xml:space="preserve">Persons performing work affecting information security are competent.</t>
  </si>
  <si>
    <t xml:space="preserve">Security Competency Management</t>
  </si>
  <si>
    <t xml:space="preserve">Security Awareness and Training Records</t>
  </si>
  <si>
    <t xml:space="preserve">Training records and role-based competency requirements</t>
  </si>
  <si>
    <t xml:space="preserve">HR / Security</t>
  </si>
  <si>
    <t xml:space="preserve">Training framework is established.</t>
  </si>
  <si>
    <t xml:space="preserve">Continue role-based training.</t>
  </si>
  <si>
    <t xml:space="preserve">ISO-10</t>
  </si>
  <si>
    <t xml:space="preserve">Clause 7.3</t>
  </si>
  <si>
    <t xml:space="preserve">Awareness</t>
  </si>
  <si>
    <t xml:space="preserve">Personnel are aware of relevant information-security policies and their responsibilities.</t>
  </si>
  <si>
    <t xml:space="preserve">Security Awareness</t>
  </si>
  <si>
    <t xml:space="preserve">Information Security Policy; Security Awareness Program</t>
  </si>
  <si>
    <t xml:space="preserve">Security awareness materials and training records</t>
  </si>
  <si>
    <t xml:space="preserve">Maintain annual awareness activities.</t>
  </si>
  <si>
    <t xml:space="preserve">ISO-11</t>
  </si>
  <si>
    <t xml:space="preserve">Clause 7.5</t>
  </si>
  <si>
    <t xml:space="preserve">Documented Information</t>
  </si>
  <si>
    <t xml:space="preserve">Required documented information is controlled and maintained.</t>
  </si>
  <si>
    <t xml:space="preserve">Document Control</t>
  </si>
  <si>
    <t xml:space="preserve">Document Control Process; ISMS Repository</t>
  </si>
  <si>
    <t xml:space="preserve">Version-controlled ISMS documentation</t>
  </si>
  <si>
    <t xml:space="preserve">Document control process is established.</t>
  </si>
  <si>
    <t xml:space="preserve">Continue controlled document review.</t>
  </si>
  <si>
    <t xml:space="preserve">ISO-12</t>
  </si>
  <si>
    <t xml:space="preserve">Clause 8.1</t>
  </si>
  <si>
    <t xml:space="preserve">Operational Planning</t>
  </si>
  <si>
    <t xml:space="preserve">Operational processes required to meet information-security requirements are planned and controlled.</t>
  </si>
  <si>
    <t xml:space="preserve">Security Operations Management</t>
  </si>
  <si>
    <t xml:space="preserve">Vulnerability Management; Incident Response; Access Control</t>
  </si>
  <si>
    <t xml:space="preserve">Operational procedures and security-process records</t>
  </si>
  <si>
    <t xml:space="preserve">Security Operations</t>
  </si>
  <si>
    <t xml:space="preserve">Processes exist but evidence consistency varies between operational activities.</t>
  </si>
  <si>
    <t xml:space="preserve">Standardize operational evidence collection.</t>
  </si>
  <si>
    <t xml:space="preserve">ISO-13</t>
  </si>
  <si>
    <t xml:space="preserve">Clause 8.2</t>
  </si>
  <si>
    <t xml:space="preserve">Risk Assessment</t>
  </si>
  <si>
    <t xml:space="preserve">Information-security risk assessments are performed at planned intervals and when significant changes occur.</t>
  </si>
  <si>
    <t xml:space="preserve">Risk Assessment; Risk Register</t>
  </si>
  <si>
    <t xml:space="preserve">Risk assessments and risk-register updates</t>
  </si>
  <si>
    <t xml:space="preserve">Risk assessment process is established.</t>
  </si>
  <si>
    <t xml:space="preserve">Trigger reassessment following material changes.</t>
  </si>
  <si>
    <t xml:space="preserve">ISO-14</t>
  </si>
  <si>
    <t xml:space="preserve">Clause 8.3</t>
  </si>
  <si>
    <t xml:space="preserve">Risk Treatment</t>
  </si>
  <si>
    <t xml:space="preserve">Risk treatment plans are implemented and maintained.</t>
  </si>
  <si>
    <t xml:space="preserve">Risk Treatment Management</t>
  </si>
  <si>
    <t xml:space="preserve">Risk Treatment Plan; Risk Register</t>
  </si>
  <si>
    <t xml:space="preserve">Treatment actions, owners, and residual-risk assessments</t>
  </si>
  <si>
    <t xml:space="preserve">Continue tracking overdue treatment actions.</t>
  </si>
  <si>
    <t xml:space="preserve">ISO-15</t>
  </si>
  <si>
    <t xml:space="preserve">Clause 9.1</t>
  </si>
  <si>
    <t xml:space="preserve">Performance Evaluation</t>
  </si>
  <si>
    <t xml:space="preserve">ISMS performance and effectiveness are monitored, measured, analyzed, and evaluated.</t>
  </si>
  <si>
    <t xml:space="preserve">Security Metrics and Reporting</t>
  </si>
  <si>
    <t xml:space="preserve">KPI/KRI Dashboard; Management Reporting</t>
  </si>
  <si>
    <t xml:space="preserve">Security metrics and management reports</t>
  </si>
  <si>
    <t xml:space="preserve">Metrics exist but some indicators lack consistent trend analysis.</t>
  </si>
  <si>
    <t xml:space="preserve">Establish consistent monthly/quarterly trend reporting.</t>
  </si>
  <si>
    <t xml:space="preserve">ISO-16</t>
  </si>
  <si>
    <t xml:space="preserve">Clause 9.2</t>
  </si>
  <si>
    <t xml:space="preserve">Internal Audit</t>
  </si>
  <si>
    <t xml:space="preserve">Internal audits are conducted at planned intervals.</t>
  </si>
  <si>
    <t xml:space="preserve">Internal Assessment</t>
  </si>
  <si>
    <t xml:space="preserve">Internal Audit Program</t>
  </si>
  <si>
    <t xml:space="preserve">Assessment plan, findings, and corrective actions</t>
  </si>
  <si>
    <t xml:space="preserve">Internal Audit / ISMS Owner</t>
  </si>
  <si>
    <t xml:space="preserve">Assessment process is defined but recurring independent assessment evidence should be strengthened.</t>
  </si>
  <si>
    <t xml:space="preserve">Not Started</t>
  </si>
  <si>
    <t xml:space="preserve">Establish annual internal audit schedule.</t>
  </si>
  <si>
    <t xml:space="preserve">ISO/IEC 27001 Annex A Controls</t>
  </si>
  <si>
    <t xml:space="preserve">A-01</t>
  </si>
  <si>
    <t xml:space="preserve">A.5.1</t>
  </si>
  <si>
    <t xml:space="preserve">Organizational Controls</t>
  </si>
  <si>
    <t xml:space="preserve">Policies for information security are defined, approved, communicated, and reviewed.</t>
  </si>
  <si>
    <t xml:space="preserve">Approved policy and review records</t>
  </si>
  <si>
    <t xml:space="preserve">No significant gap.</t>
  </si>
  <si>
    <t xml:space="preserve">Annual review required.</t>
  </si>
  <si>
    <t xml:space="preserve">A-02</t>
  </si>
  <si>
    <t xml:space="preserve">A.5.15</t>
  </si>
  <si>
    <t xml:space="preserve">Access Control</t>
  </si>
  <si>
    <t xml:space="preserve">Rules for controlling physical and logical access are established and implemented.</t>
  </si>
  <si>
    <t xml:space="preserve">Access Management</t>
  </si>
  <si>
    <t xml:space="preserve">Access Control Policy</t>
  </si>
  <si>
    <t xml:space="preserve">Access-control procedures and user-access records</t>
  </si>
  <si>
    <t xml:space="preserve">IT / Security</t>
  </si>
  <si>
    <t xml:space="preserve">Access processes exist but periodic review evidence requires strengthening.</t>
  </si>
  <si>
    <t xml:space="preserve">Formalize recurring access-review evidence.</t>
  </si>
  <si>
    <t xml:space="preserve">A-03</t>
  </si>
  <si>
    <t xml:space="preserve">A.5.18</t>
  </si>
  <si>
    <t xml:space="preserve">Access Rights</t>
  </si>
  <si>
    <t xml:space="preserve">Access rights are provisioned, reviewed, modified, and removed according to defined processes.</t>
  </si>
  <si>
    <t xml:space="preserve">User Access Lifecycle</t>
  </si>
  <si>
    <t xml:space="preserve">Provisioning, review, and termination records</t>
  </si>
  <si>
    <t xml:space="preserve">Review frequency and evidence retention require further standardization.</t>
  </si>
  <si>
    <t xml:space="preserve">Implement documented quarterly access reviews.</t>
  </si>
  <si>
    <t xml:space="preserve">A-04</t>
  </si>
  <si>
    <t xml:space="preserve">A.5.24</t>
  </si>
  <si>
    <t xml:space="preserve">Incident Management</t>
  </si>
  <si>
    <t xml:space="preserve">Incident-management planning and preparation are established.</t>
  </si>
  <si>
    <t xml:space="preserve">Incident Response</t>
  </si>
  <si>
    <t xml:space="preserve">Incident Response Policy</t>
  </si>
  <si>
    <t xml:space="preserve">Incident-response procedures and tabletop exercise</t>
  </si>
  <si>
    <t xml:space="preserve">Continue periodic exercises.</t>
  </si>
  <si>
    <t xml:space="preserve">A-05</t>
  </si>
  <si>
    <t xml:space="preserve">A.5.25</t>
  </si>
  <si>
    <t xml:space="preserve">Incident Assessment</t>
  </si>
  <si>
    <t xml:space="preserve">Information-security events are assessed to determine whether they constitute incidents.</t>
  </si>
  <si>
    <t xml:space="preserve">Incident Triage</t>
  </si>
  <si>
    <t xml:space="preserve">Incident classification and triage procedures</t>
  </si>
  <si>
    <t xml:space="preserve">Process is defined.</t>
  </si>
  <si>
    <t xml:space="preserve">Maintain incident classification criteria.</t>
  </si>
  <si>
    <t xml:space="preserve">A-06</t>
  </si>
  <si>
    <t xml:space="preserve">A.5.26</t>
  </si>
  <si>
    <t xml:space="preserve">Information-security incidents are responded to according to documented procedures.</t>
  </si>
  <si>
    <t xml:space="preserve">Incident Response Management</t>
  </si>
  <si>
    <t xml:space="preserve">Incident procedures, escalation records, and tabletop results</t>
  </si>
  <si>
    <t xml:space="preserve">Continue periodic testing.</t>
  </si>
  <si>
    <t xml:space="preserve">A-07</t>
  </si>
  <si>
    <t xml:space="preserve">A.5.28</t>
  </si>
  <si>
    <t xml:space="preserve">Evidence Collection</t>
  </si>
  <si>
    <t xml:space="preserve">Procedures for identification, collection, acquisition, and preservation of evidence are established.</t>
  </si>
  <si>
    <t xml:space="preserve">Security Evidence Management</t>
  </si>
  <si>
    <t xml:space="preserve">Incident Response; Evidence Register</t>
  </si>
  <si>
    <t xml:space="preserve">Evidence-handling procedures and investigation records</t>
  </si>
  <si>
    <t xml:space="preserve">Limited</t>
  </si>
  <si>
    <t xml:space="preserve">Evidence-handling expectations require further formalization.</t>
  </si>
  <si>
    <t xml:space="preserve">Formalize evidence-handling and retention requirements.</t>
  </si>
  <si>
    <t xml:space="preserve">A-08</t>
  </si>
  <si>
    <t xml:space="preserve">A.5.30</t>
  </si>
  <si>
    <t xml:space="preserve">Business Continuity</t>
  </si>
  <si>
    <t xml:space="preserve">ICT readiness for business continuity is established.</t>
  </si>
  <si>
    <t xml:space="preserve">ICT Continuity Management</t>
  </si>
  <si>
    <t xml:space="preserve">BIA; BCP/DR Strategy; DRP</t>
  </si>
  <si>
    <t xml:space="preserve">RTO/RPO requirements, recovery strategies, and recovery runbooks</t>
  </si>
  <si>
    <t xml:space="preserve">Business Continuity / IT</t>
  </si>
  <si>
    <t xml:space="preserve">Continue tabletop and recovery testing.</t>
  </si>
  <si>
    <t xml:space="preserve">A-09</t>
  </si>
  <si>
    <t xml:space="preserve">A.8.8</t>
  </si>
  <si>
    <t xml:space="preserve">Technical Vulnerability Management</t>
  </si>
  <si>
    <t xml:space="preserve">Technical vulnerabilities are identified, evaluated, and addressed.</t>
  </si>
  <si>
    <t xml:space="preserve">Vulnerability Management</t>
  </si>
  <si>
    <t xml:space="preserve">Vulnerability Management Program</t>
  </si>
  <si>
    <t xml:space="preserve">Vulnerability register, remediation records, and risk ratings</t>
  </si>
  <si>
    <t xml:space="preserve">Vulnerability-management process is established.</t>
  </si>
  <si>
    <t xml:space="preserve">Continue risk-based remediation.</t>
  </si>
  <si>
    <t xml:space="preserve">A-10</t>
  </si>
  <si>
    <t xml:space="preserve">A.8.15</t>
  </si>
  <si>
    <t xml:space="preserve">Logging and Monitoring</t>
  </si>
  <si>
    <t xml:space="preserve">Logs are generated, protected, and reviewed for relevant systems and activities.</t>
  </si>
  <si>
    <t xml:space="preserve">Security Logging and Monitoring</t>
  </si>
  <si>
    <t xml:space="preserve">Logging and Monitoring Procedures</t>
  </si>
  <si>
    <t xml:space="preserve">Cloud logging, monitoring records, and alerting processes</t>
  </si>
  <si>
    <t xml:space="preserve">Logging exists, but centralized review and evidence retention should be strengthened.</t>
  </si>
  <si>
    <t xml:space="preserve">Improve centralized monitoring evidence.</t>
  </si>
  <si>
    <t xml:space="preserve">A-11</t>
  </si>
  <si>
    <t xml:space="preserve">A.5.31</t>
  </si>
  <si>
    <t xml:space="preserve">Legal and Regulatory Compliance</t>
  </si>
  <si>
    <t xml:space="preserve">Legal, statutory, regulatory, and contractual information-security requirements are identified and maintained.</t>
  </si>
  <si>
    <t xml:space="preserve">Compliance Requirements Management</t>
  </si>
  <si>
    <t xml:space="preserve">Compliance Register; Privacy Program</t>
  </si>
  <si>
    <t xml:space="preserve">Regulatory and contractual requirements register</t>
  </si>
  <si>
    <t xml:space="preserve">Legal / Security/GRC</t>
  </si>
  <si>
    <t xml:space="preserve">Core requirements are identified, but centralized tracking should be improved.</t>
  </si>
  <si>
    <t xml:space="preserve">Establish formal compliance obligations register.</t>
  </si>
  <si>
    <t xml:space="preserve">A-12</t>
  </si>
  <si>
    <t xml:space="preserve">A.5.36</t>
  </si>
  <si>
    <t xml:space="preserve">Security Compliance</t>
  </si>
  <si>
    <t xml:space="preserve">Compliance with information-security policies, rules, and standards is regularly reviewed.</t>
  </si>
  <si>
    <t xml:space="preserve">Policy Compliance Monitoring</t>
  </si>
  <si>
    <t xml:space="preserve">Compliance Assessment; Internal Audit Program</t>
  </si>
  <si>
    <t xml:space="preserve">Compliance assessments and corrective-action records</t>
  </si>
  <si>
    <t xml:space="preserve">Assessment activities exist but recurring compliance validation needs formal scheduling.</t>
  </si>
  <si>
    <t xml:space="preserve">Establish recurring control-compliance review cycle.</t>
  </si>
  <si>
    <t xml:space="preserve">NIST CSF 2.0 / Supporting Requirements</t>
  </si>
  <si>
    <t xml:space="preserve">NIST-01</t>
  </si>
  <si>
    <t xml:space="preserve">NIST CSF 2.0</t>
  </si>
  <si>
    <t xml:space="preserve">GV.OC</t>
  </si>
  <si>
    <t xml:space="preserve">Govern</t>
  </si>
  <si>
    <t xml:space="preserve">Organizational context is understood and used to establish cybersecurity risk-management priorities.</t>
  </si>
  <si>
    <t xml:space="preserve">Governance and Organizational Context</t>
  </si>
  <si>
    <t xml:space="preserve">Security Governance Framework</t>
  </si>
  <si>
    <t xml:space="preserve">Governance framework and ISMS scope</t>
  </si>
  <si>
    <t xml:space="preserve">Review after significant organizational change.</t>
  </si>
  <si>
    <t xml:space="preserve">NIST-02</t>
  </si>
  <si>
    <t xml:space="preserve">GV.RR</t>
  </si>
  <si>
    <t xml:space="preserve">Cybersecurity roles, responsibilities, and authorities are established and communicated.</t>
  </si>
  <si>
    <t xml:space="preserve">Governance Roles and Responsibilities</t>
  </si>
  <si>
    <t xml:space="preserve">Governance structure and responsibility matrix</t>
  </si>
  <si>
    <t xml:space="preserve">Some control ownership requires additional formalization.</t>
  </si>
  <si>
    <t xml:space="preserve">Complete ownership mapping.</t>
  </si>
  <si>
    <t xml:space="preserve">NIST-03</t>
  </si>
  <si>
    <t xml:space="preserve">GV.PO</t>
  </si>
  <si>
    <t xml:space="preserve">Cybersecurity policy is established, communicated, and maintained.</t>
  </si>
  <si>
    <t xml:space="preserve">Security Policy Governance</t>
  </si>
  <si>
    <t xml:space="preserve">Approved security policies</t>
  </si>
  <si>
    <t xml:space="preserve">NIST-04</t>
  </si>
  <si>
    <t xml:space="preserve">ID.AM</t>
  </si>
  <si>
    <t xml:space="preserve">Identify</t>
  </si>
  <si>
    <t xml:space="preserve">Assets, services, systems, and relevant resources are identified and managed.</t>
  </si>
  <si>
    <t xml:space="preserve">Asset Management</t>
  </si>
  <si>
    <t xml:space="preserve">Asset Management Policy; Asset Inventory</t>
  </si>
  <si>
    <t xml:space="preserve">Asset inventory and ownership information</t>
  </si>
  <si>
    <t xml:space="preserve">Asset inventory requires continued completeness validation.</t>
  </si>
  <si>
    <t xml:space="preserve">Perform periodic inventory reconciliation.</t>
  </si>
  <si>
    <t xml:space="preserve">NIST-05</t>
  </si>
  <si>
    <t xml:space="preserve">ID.RA</t>
  </si>
  <si>
    <t xml:space="preserve">Cybersecurity risks are identified, analyzed, and prioritized.</t>
  </si>
  <si>
    <t xml:space="preserve">Cyber Risk Assessment</t>
  </si>
  <si>
    <t xml:space="preserve">Risk register and risk treatment decisions</t>
  </si>
  <si>
    <t xml:space="preserve">Continue periodic risk assessments.</t>
  </si>
  <si>
    <t xml:space="preserve">NIST-06</t>
  </si>
  <si>
    <t xml:space="preserve">PR.AA</t>
  </si>
  <si>
    <t xml:space="preserve">Protect</t>
  </si>
  <si>
    <t xml:space="preserve">Identities and access permissions are managed according to risk.</t>
  </si>
  <si>
    <t xml:space="preserve">Identity and Access Management</t>
  </si>
  <si>
    <t xml:space="preserve">Identity-management and access-review records</t>
  </si>
  <si>
    <t xml:space="preserve">Access review evidence requires further standardization.</t>
  </si>
  <si>
    <t xml:space="preserve">Establish recurring access certification.</t>
  </si>
  <si>
    <t xml:space="preserve">NIST-07</t>
  </si>
  <si>
    <t xml:space="preserve">PR.AT</t>
  </si>
  <si>
    <t xml:space="preserve">Personnel receive cybersecurity awareness and training appropriate to their roles.</t>
  </si>
  <si>
    <t xml:space="preserve">Security Awareness and Training</t>
  </si>
  <si>
    <t xml:space="preserve">Security Awareness Program</t>
  </si>
  <si>
    <t xml:space="preserve">Training records and awareness materials</t>
  </si>
  <si>
    <t xml:space="preserve">Continue annual awareness training.</t>
  </si>
  <si>
    <t xml:space="preserve">NIST-08</t>
  </si>
  <si>
    <t xml:space="preserve">DE.CM</t>
  </si>
  <si>
    <t xml:space="preserve">Detect</t>
  </si>
  <si>
    <t xml:space="preserve">Systems and assets are monitored to identify potentially adverse events.</t>
  </si>
  <si>
    <t xml:space="preserve">Security Monitoring</t>
  </si>
  <si>
    <t xml:space="preserve">Cloud monitoring, alerts, and security-event records</t>
  </si>
  <si>
    <t xml:space="preserve">Monitoring exists but centralized evidence and review processes require improvement.</t>
  </si>
  <si>
    <t xml:space="preserve">Improve centralized monitoring and review evidence.</t>
  </si>
  <si>
    <t xml:space="preserve">NIST-09</t>
  </si>
  <si>
    <t xml:space="preserve">RS.MA</t>
  </si>
  <si>
    <t xml:space="preserve">Respond</t>
  </si>
  <si>
    <t xml:space="preserve">Incident response activities are managed and coordinated according to established procedures.</t>
  </si>
  <si>
    <t xml:space="preserve">NIST-10</t>
  </si>
  <si>
    <t xml:space="preserve">RC.RP</t>
  </si>
  <si>
    <t xml:space="preserve">Recover</t>
  </si>
  <si>
    <t xml:space="preserve">Recovery activities are executed according to defined plans.</t>
  </si>
  <si>
    <t xml:space="preserve">Business Continuity and Disaster Recovery</t>
  </si>
  <si>
    <t xml:space="preserve">BCP/DR Strategy; DRP; Recovery Runbooks</t>
  </si>
  <si>
    <t xml:space="preserve">Recovery plans, RTO/RPO requirements, and tabletop exercise</t>
  </si>
  <si>
    <t xml:space="preserve">Continue recovery testing.</t>
  </si>
  <si>
    <t xml:space="preserve">NIST-11</t>
  </si>
  <si>
    <t xml:space="preserve">Cybersecurity risk-assessment findings are documented, analyzed, and used to prioritize risk response.</t>
  </si>
  <si>
    <t xml:space="preserve">Risk Findings and Treatment</t>
  </si>
  <si>
    <t xml:space="preserve">Risk Register; Risk Treatment Plan</t>
  </si>
  <si>
    <t xml:space="preserve">Risk findings, ratings, owners, and treatment decisions</t>
  </si>
  <si>
    <t xml:space="preserve">Maintain linkage between findings and remediation.</t>
  </si>
  <si>
    <t xml:space="preserve">NIST-12</t>
  </si>
  <si>
    <t xml:space="preserve">PR.DS</t>
  </si>
  <si>
    <t xml:space="preserve">Data Security</t>
  </si>
  <si>
    <t xml:space="preserve">Data is managed and protected according to organizational risk and security requirements.</t>
  </si>
  <si>
    <t xml:space="preserve">Data Security Management</t>
  </si>
  <si>
    <t xml:space="preserve">Information Security Policy; Access Control Policy; Privacy Program</t>
  </si>
  <si>
    <t xml:space="preserve">Data-handling requirements, access controls, and security procedures</t>
  </si>
  <si>
    <t xml:space="preserve">Security / Privacy</t>
  </si>
  <si>
    <t xml:space="preserve">Data-security requirements are established, but evidence of consistent control validation should be strengthened.</t>
  </si>
  <si>
    <t xml:space="preserve">Establish recurring data-security control validation.</t>
  </si>
  <si>
    <t xml:space="preserve">Summary Dashboard</t>
  </si>
  <si>
    <t xml:space="preserve">All counts are live formulas driven by the 'Compliance Assessment' sheet.</t>
  </si>
  <si>
    <t xml:space="preserve">Metric</t>
  </si>
  <si>
    <t xml:space="preserve">Value</t>
  </si>
  <si>
    <t xml:space="preserve">Total Requirements</t>
  </si>
  <si>
    <t xml:space="preserve">Non-Compliant</t>
  </si>
  <si>
    <t xml:space="preserve">Not Applicable</t>
  </si>
  <si>
    <t xml:space="preserve">Under Review</t>
  </si>
  <si>
    <t xml:space="preserve">Strong Evidence</t>
  </si>
  <si>
    <t xml:space="preserve">Adequate Evidence</t>
  </si>
  <si>
    <t xml:space="preserve">Limited Evidence</t>
  </si>
  <si>
    <t xml:space="preserve">Missing Evidence</t>
  </si>
  <si>
    <t xml:space="preserve">Critical Risk</t>
  </si>
  <si>
    <t xml:space="preserve">High Risk</t>
  </si>
  <si>
    <t xml:space="preserve">Moderate Risk</t>
  </si>
  <si>
    <t xml:space="preserve">Low Risk</t>
  </si>
  <si>
    <t xml:space="preserve">Remediation Not Required</t>
  </si>
  <si>
    <t xml:space="preserve">Key Metrics</t>
  </si>
  <si>
    <t xml:space="preserve">Overall Compliance Rate</t>
  </si>
  <si>
    <t xml:space="preserve">Partial Compliance Rate</t>
  </si>
  <si>
    <t xml:space="preserve">Non-Compliance Rate</t>
  </si>
  <si>
    <t xml:space="preserve">Evidence Coverage (not Missing)</t>
  </si>
  <si>
    <t xml:space="preserve">Validated Requirement Rate</t>
  </si>
  <si>
    <t xml:space="preserve">Management Interpretation</t>
  </si>
  <si>
    <t xml:space="preserve">The assessment indicates that Axiom has established a substantial baseline of information-security governance and operational controls. The primary improvement opportunities involve formalizing recurring governance evidence, strengthening access-review evidence, improving centralized monitoring, formalizing compliance-obligation tracking, and establishing more consistent performance evaluation.
No critical or high-risk compliance gaps were identified in this simulated assessment. Moderate findings should nevertheless be tracked through the remediation process and reported to management until validated.</t>
  </si>
  <si>
    <t xml:space="preserve">Finding ID</t>
  </si>
  <si>
    <t xml:space="preserve">Source</t>
  </si>
  <si>
    <t xml:space="preserve">Finding</t>
  </si>
  <si>
    <t xml:space="preserve">Risk</t>
  </si>
  <si>
    <t xml:space="preserve">Owner</t>
  </si>
  <si>
    <t xml:space="preserve">Remediation</t>
  </si>
  <si>
    <t xml:space="preserve">Status</t>
  </si>
  <si>
    <t xml:space="preserve">F-001</t>
  </si>
  <si>
    <t xml:space="preserve">Governance decisions are not consistently centralized.</t>
  </si>
  <si>
    <t xml:space="preserve">Establish governance decision/action log.</t>
  </si>
  <si>
    <t xml:space="preserve">F-002</t>
  </si>
  <si>
    <t xml:space="preserve">Some control ownership requires formalization.</t>
  </si>
  <si>
    <t xml:space="preserve">F-003</t>
  </si>
  <si>
    <t xml:space="preserve">Security-objective measurement requires greater consistency.</t>
  </si>
  <si>
    <t xml:space="preserve">Define owners, metrics, and reporting frequency.</t>
  </si>
  <si>
    <t xml:space="preserve">F-004</t>
  </si>
  <si>
    <t xml:space="preserve">Operational evidence collection varies between processes.</t>
  </si>
  <si>
    <t xml:space="preserve">Standardize operational evidence requirements.</t>
  </si>
  <si>
    <t xml:space="preserve">F-005</t>
  </si>
  <si>
    <t xml:space="preserve">Metrics lack consistent trend analysis.</t>
  </si>
  <si>
    <t xml:space="preserve">Implement recurring trend reporting.</t>
  </si>
  <si>
    <t xml:space="preserve">F-006</t>
  </si>
  <si>
    <t xml:space="preserve">Recurring independent assessment evidence should be strengthened.</t>
  </si>
  <si>
    <t xml:space="preserve">F-007</t>
  </si>
  <si>
    <t xml:space="preserve">Access-review evidence requires strengthening.</t>
  </si>
  <si>
    <t xml:space="preserve">Formalize recurring access reviews.</t>
  </si>
  <si>
    <t xml:space="preserve">F-008</t>
  </si>
  <si>
    <t xml:space="preserve">Access lifecycle review frequency requires standardization.</t>
  </si>
  <si>
    <t xml:space="preserve">Implement quarterly access reviews.</t>
  </si>
  <si>
    <t xml:space="preserve">F-009</t>
  </si>
  <si>
    <t xml:space="preserve">Evidence-handling requirements require formalization.</t>
  </si>
  <si>
    <t xml:space="preserve">Document evidence-handling and retention requirements.</t>
  </si>
  <si>
    <t xml:space="preserve">F-010</t>
  </si>
  <si>
    <t xml:space="preserve">Centralized logging and monitoring evidence should be strengthened.</t>
  </si>
  <si>
    <t xml:space="preserve">F-011</t>
  </si>
  <si>
    <t xml:space="preserve">Compliance-obligation tracking should be centralized.</t>
  </si>
  <si>
    <t xml:space="preserve">Establish compliance obligations register.</t>
  </si>
  <si>
    <t xml:space="preserve">F-012</t>
  </si>
  <si>
    <t xml:space="preserve">Recurring policy-compliance validation needs formal scheduling.</t>
  </si>
  <si>
    <t xml:space="preserve">Establish recurring compliance review cycle.</t>
  </si>
  <si>
    <t xml:space="preserve">F-013</t>
  </si>
  <si>
    <t xml:space="preserve">Some governance responsibilities require further formalization.</t>
  </si>
  <si>
    <t xml:space="preserve">F-014</t>
  </si>
  <si>
    <t xml:space="preserve">Asset inventory completeness requires validation.</t>
  </si>
  <si>
    <t xml:space="preserve">F-015</t>
  </si>
  <si>
    <t xml:space="preserve">Access certification requires standardization.</t>
  </si>
  <si>
    <t xml:space="preserve">F-016</t>
  </si>
  <si>
    <t xml:space="preserve">Centralized monitoring evidence requires improvement.</t>
  </si>
  <si>
    <t xml:space="preserve">Improve monitoring and review evidence.</t>
  </si>
  <si>
    <t xml:space="preserve">F-017</t>
  </si>
  <si>
    <t xml:space="preserve">Data-security control validation should be strengthened.</t>
  </si>
  <si>
    <t xml:space="preserve">Establish recurring data-security validation.</t>
  </si>
  <si>
    <t xml:space="preserve">F-018</t>
  </si>
  <si>
    <t xml:space="preserve">Continue periodic risk reassessment and treatment monitoring.</t>
  </si>
  <si>
    <t xml:space="preserve">Continue existing risk-management cycle.</t>
  </si>
  <si>
    <t xml:space="preserve">ISO / Axiom Area</t>
  </si>
  <si>
    <t xml:space="preserve">NIST CSF</t>
  </si>
  <si>
    <t xml:space="preserve">Axiom Control Area</t>
  </si>
  <si>
    <t xml:space="preserve">Portfolio Project</t>
  </si>
  <si>
    <t xml:space="preserve">ISMS Context</t>
  </si>
  <si>
    <t xml:space="preserve">Governance / ISMS Scope</t>
  </si>
  <si>
    <t xml:space="preserve">P3</t>
  </si>
  <si>
    <t xml:space="preserve">GV.RR / GV.PO</t>
  </si>
  <si>
    <t xml:space="preserve">Security Governance</t>
  </si>
  <si>
    <t xml:space="preserve">P6</t>
  </si>
  <si>
    <t xml:space="preserve">Cyber Risk Management</t>
  </si>
  <si>
    <t xml:space="preserve">P1</t>
  </si>
  <si>
    <t xml:space="preserve">P2 / P6</t>
  </si>
  <si>
    <t xml:space="preserve">P2</t>
  </si>
  <si>
    <t xml:space="preserve">P3 / P6</t>
  </si>
  <si>
    <t xml:space="preserve">ID.RA / PR.PS</t>
  </si>
  <si>
    <t xml:space="preserve">P5</t>
  </si>
  <si>
    <t xml:space="preserve">P5 / P6</t>
  </si>
  <si>
    <t xml:space="preserve">P3 / P5</t>
  </si>
  <si>
    <t xml:space="preserve">Malware Analysis</t>
  </si>
  <si>
    <t xml:space="preserve">RS.AN</t>
  </si>
  <si>
    <t xml:space="preserve">Security Investigation</t>
  </si>
  <si>
    <t xml:space="preserve">BCP / DR</t>
  </si>
  <si>
    <t xml:space="preserve">P4</t>
  </si>
  <si>
    <t xml:space="preserve">Disaster Recovery</t>
  </si>
  <si>
    <t xml:space="preserve">Recovery Runbooks</t>
  </si>
  <si>
    <t xml:space="preserve">Third-Party Risk</t>
  </si>
  <si>
    <t xml:space="preserve">GV.SC</t>
  </si>
  <si>
    <t xml:space="preserve">Third-Party Risk Management</t>
  </si>
  <si>
    <t xml:space="preserve">Compliance</t>
  </si>
  <si>
    <t xml:space="preserve">GV.OC / GV.PO</t>
  </si>
  <si>
    <t xml:space="preserve">Compliance Governance</t>
  </si>
  <si>
    <t xml:space="preserve">GV.OV</t>
  </si>
  <si>
    <t xml:space="preserve">Management Review</t>
  </si>
  <si>
    <t xml:space="preserve">GV.RM</t>
  </si>
  <si>
    <t xml:space="preserve">Security Metrics</t>
  </si>
  <si>
    <t xml:space="preserve">Data Protection</t>
  </si>
  <si>
    <t xml:space="preserve">Evidence ID</t>
  </si>
  <si>
    <t xml:space="preserve">Related Requirement / Finding</t>
  </si>
  <si>
    <t xml:space="preserve">Evidence Type</t>
  </si>
  <si>
    <t xml:space="preserve">Rating</t>
  </si>
  <si>
    <t xml:space="preserve">EV-001</t>
  </si>
  <si>
    <t xml:space="preserve">ISO-01, ISO-03, NIST-01</t>
  </si>
  <si>
    <t xml:space="preserve">Governance</t>
  </si>
  <si>
    <t xml:space="preserve">EV-002</t>
  </si>
  <si>
    <t xml:space="preserve">ISO-05, A-01, NIST-03</t>
  </si>
  <si>
    <t xml:space="preserve">EV-003</t>
  </si>
  <si>
    <t xml:space="preserve">ISO-04, ISO-06, NIST-02</t>
  </si>
  <si>
    <t xml:space="preserve">EV-004</t>
  </si>
  <si>
    <t xml:space="preserve">Risk Register</t>
  </si>
  <si>
    <t xml:space="preserve">ISO-07, ISO-13, ISO-14, NIST-05, NIST-11</t>
  </si>
  <si>
    <t xml:space="preserve">EV-005</t>
  </si>
  <si>
    <t xml:space="preserve">Security Objectives / KPI Dashboard</t>
  </si>
  <si>
    <t xml:space="preserve">ISO-08, ISO-15</t>
  </si>
  <si>
    <t xml:space="preserve">Metrics</t>
  </si>
  <si>
    <t xml:space="preserve">EV-006</t>
  </si>
  <si>
    <t xml:space="preserve">Security Awareness Records</t>
  </si>
  <si>
    <t xml:space="preserve">ISO-09, ISO-10, NIST-07</t>
  </si>
  <si>
    <t xml:space="preserve">Training</t>
  </si>
  <si>
    <t xml:space="preserve">EV-007</t>
  </si>
  <si>
    <t xml:space="preserve">A-02, A-03, NIST-06</t>
  </si>
  <si>
    <t xml:space="preserve">Policy / Control</t>
  </si>
  <si>
    <t xml:space="preserve">EV-008</t>
  </si>
  <si>
    <t xml:space="preserve">A-04, A-05, A-06, NIST-09</t>
  </si>
  <si>
    <t xml:space="preserve">EV-009</t>
  </si>
  <si>
    <t xml:space="preserve">Incident Tabletop Exercise</t>
  </si>
  <si>
    <t xml:space="preserve">A-04, A-06, NIST-09</t>
  </si>
  <si>
    <t xml:space="preserve">Exercise</t>
  </si>
  <si>
    <t xml:space="preserve">EV-010</t>
  </si>
  <si>
    <t xml:space="preserve">Evidence Handling Procedures</t>
  </si>
  <si>
    <t xml:space="preserve">Procedure</t>
  </si>
  <si>
    <t xml:space="preserve">EV-011</t>
  </si>
  <si>
    <t xml:space="preserve">BIA</t>
  </si>
  <si>
    <t xml:space="preserve">A-08, NIST-10</t>
  </si>
  <si>
    <t xml:space="preserve">EV-012</t>
  </si>
  <si>
    <t xml:space="preserve">BCP/DR Strategy</t>
  </si>
  <si>
    <t xml:space="preserve">IT / BC</t>
  </si>
  <si>
    <t xml:space="preserve">EV-013</t>
  </si>
  <si>
    <t xml:space="preserve">Disaster Recovery Plan</t>
  </si>
  <si>
    <t xml:space="preserve">Recovery</t>
  </si>
  <si>
    <t xml:space="preserve">IT</t>
  </si>
  <si>
    <t xml:space="preserve">EV-014</t>
  </si>
  <si>
    <t xml:space="preserve">EV-015</t>
  </si>
  <si>
    <t xml:space="preserve">EV-016</t>
  </si>
  <si>
    <t xml:space="preserve">Security Remediation Records</t>
  </si>
  <si>
    <t xml:space="preserve">A-09, NIST-11</t>
  </si>
  <si>
    <t xml:space="preserve">EV-017</t>
  </si>
  <si>
    <t xml:space="preserve">A-10, NIST-08</t>
  </si>
  <si>
    <t xml:space="preserve">Monitoring</t>
  </si>
  <si>
    <t xml:space="preserve">EV-018</t>
  </si>
  <si>
    <t xml:space="preserve">Compliance Obligations Register</t>
  </si>
  <si>
    <t xml:space="preserve">Legal / GRC</t>
  </si>
  <si>
    <t xml:space="preserve">EV-019</t>
  </si>
  <si>
    <t xml:space="preserve">Compliance Assessment</t>
  </si>
  <si>
    <t xml:space="preserve">A-12, ISO-16</t>
  </si>
  <si>
    <t xml:space="preserve">Assessment</t>
  </si>
  <si>
    <t xml:space="preserve">EV-020</t>
  </si>
  <si>
    <t xml:space="preserve">Malware Analysis Report</t>
  </si>
  <si>
    <t xml:space="preserve">Investigation</t>
  </si>
  <si>
    <t xml:space="preserve">Assessment Information</t>
  </si>
  <si>
    <t xml:space="preserve">Field</t>
  </si>
  <si>
    <t xml:space="preserve">Assessment Reference</t>
  </si>
  <si>
    <t xml:space="preserve">AAX-COMP-2026-001</t>
  </si>
  <si>
    <t xml:space="preserve">Organization</t>
  </si>
  <si>
    <t xml:space="preserve">Axiom AI Technologies</t>
  </si>
  <si>
    <t xml:space="preserve">Assessment Type</t>
  </si>
  <si>
    <t xml:space="preserve">Internal Compliance Assessment</t>
  </si>
  <si>
    <t xml:space="preserve">Assessment Period</t>
  </si>
  <si>
    <t xml:space="preserve">October 2026</t>
  </si>
  <si>
    <t xml:space="preserve">Primary Framework</t>
  </si>
  <si>
    <t xml:space="preserve">ISO/IEC 27001:2022</t>
  </si>
  <si>
    <t xml:space="preserve">Supporting Frameworks</t>
  </si>
  <si>
    <t xml:space="preserve">NIST CSF 2.0; NIST SP 800-53</t>
  </si>
  <si>
    <t xml:space="preserve">Scope</t>
  </si>
  <si>
    <t xml:space="preserve">Axiom AI ISMS and supporting cybersecurity processes</t>
  </si>
  <si>
    <t xml:space="preserve">Assessor</t>
  </si>
  <si>
    <t xml:space="preserve">Security / GRC</t>
  </si>
  <si>
    <t xml:space="preserve">Control Owners</t>
  </si>
  <si>
    <t xml:space="preserve">Assigned by control domain</t>
  </si>
  <si>
    <t xml:space="preserve">Classification</t>
  </si>
  <si>
    <t xml:space="preserve">Internal Use — Portfolio Case Study</t>
  </si>
  <si>
    <t xml:space="preserve">Next Review</t>
  </si>
  <si>
    <t xml:space="preserve">October 2027</t>
  </si>
  <si>
    <t xml:space="preserve">Compliance Status Definitions</t>
  </si>
  <si>
    <t xml:space="preserve">Term</t>
  </si>
  <si>
    <t xml:space="preserve">Definition</t>
  </si>
  <si>
    <t xml:space="preserve">Requirement is implemented and sufficient evidence exists to demonstrate effectiveness.</t>
  </si>
  <si>
    <t xml:space="preserve">Requirement is substantially addressed, but one or more gaps, inconsistencies, or evidence weaknesses remain.</t>
  </si>
  <si>
    <t xml:space="preserve">Requirement has not been adequately implemented or evidence is insufficient to demonstrate implementation.</t>
  </si>
  <si>
    <t xml:space="preserve">Requirement has been assessed and determined not applicable to the defined scope.</t>
  </si>
  <si>
    <t xml:space="preserve">Assessment remains open pending additional evidence or validation.</t>
  </si>
  <si>
    <t xml:space="preserve">Evidence Ratings</t>
  </si>
  <si>
    <t xml:space="preserve">Clear, current, approved, and traceable evidence.</t>
  </si>
  <si>
    <t xml:space="preserve">Evidence exists and generally supports implementation, but minor improvements may be needed.</t>
  </si>
  <si>
    <t xml:space="preserve">Evidence exists but is incomplete, inconsistent, or insufficient for strong assurance.</t>
  </si>
  <si>
    <t xml:space="preserve">Missing</t>
  </si>
  <si>
    <t xml:space="preserve">Required evidence was not available.</t>
  </si>
  <si>
    <t xml:space="preserve">Risk Ratings</t>
  </si>
  <si>
    <t xml:space="preserve">Critical</t>
  </si>
  <si>
    <t xml:space="preserve">Immediate and potentially severe organizational impact.</t>
  </si>
  <si>
    <t xml:space="preserve">High</t>
  </si>
  <si>
    <t xml:space="preserve">Significant impact requiring prioritized remediation.</t>
  </si>
  <si>
    <t xml:space="preserve">Meaningful control or compliance weakness requiring planned remediation.</t>
  </si>
  <si>
    <t xml:space="preserve">Limited residual risk or minor improvement opportunity.</t>
  </si>
  <si>
    <t xml:space="preserve">Assessment Methodology</t>
  </si>
  <si>
    <t xml:space="preserve">Traceability chain: Requirement → Control / Process → Evidence → Compliance Status → Risk → Finding → Remediation → Validation</t>
  </si>
  <si>
    <t xml:space="preserve">Identify applicable requirements.</t>
  </si>
  <si>
    <t xml:space="preserve">Map each requirement to an Axiom control or process.</t>
  </si>
  <si>
    <t xml:space="preserve">Identify supporting policies and artifacts.</t>
  </si>
  <si>
    <t xml:space="preserve">Review available evidence.</t>
  </si>
  <si>
    <t xml:space="preserve">Assign an evidence rating.</t>
  </si>
  <si>
    <t xml:space="preserve">Determine compliance status.</t>
  </si>
  <si>
    <t xml:space="preserve">Assign residual risk.</t>
  </si>
  <si>
    <t xml:space="preserve">Document gaps and observations.</t>
  </si>
  <si>
    <t xml:space="preserve">Assign remediation ownership.</t>
  </si>
  <si>
    <t xml:space="preserve">Establish target dates.</t>
  </si>
  <si>
    <t xml:space="preserve">Track remediation status.</t>
  </si>
  <si>
    <t xml:space="preserve">Validate completed actions.</t>
  </si>
  <si>
    <t xml:space="preserve">Report significant findings to management.</t>
  </si>
  <si>
    <t xml:space="preserve">Document Ownership</t>
  </si>
  <si>
    <t xml:space="preserve">Document Owner</t>
  </si>
  <si>
    <t xml:space="preserve">Framework Owner</t>
  </si>
  <si>
    <t xml:space="preserve">Security Governance / GRC</t>
  </si>
  <si>
    <t xml:space="preserve">Review Frequency</t>
  </si>
  <si>
    <t xml:space="preserve">At least annually</t>
  </si>
  <si>
    <t xml:space="preserve">Trigger-Based Review</t>
  </si>
  <si>
    <t xml:space="preserve">Following significant organizational, regulatory, technological, or risk changes.</t>
  </si>
  <si>
    <t xml:space="preserve">Portfolio Disclaimer</t>
  </si>
  <si>
    <t xml:space="preserve">This compliance assessment is a simulated portfolio case study developed for demonstration of cybersecurity governance, GRC, compliance assessment, evidence management, and security-risk analysis capabilities.
Axiom AI Technologies is a fictional organization. Assessment results, evidence, findings, dates, and control implementations are simulated and are not presented as actual findings from a real organization.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</si>
</sst>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General"/>
    <numFmt numFmtId="167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E2F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8CBAD"/>
        </patternFill>
      </fill>
    </dxf>
    <dxf>
      <fill>
        <patternFill>
          <bgColor rgb="FFDDEBF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C7CE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42"/>
    <col collapsed="false" customWidth="true" hidden="false" outlineLevel="0" max="6" min="6" style="0" width="28"/>
    <col collapsed="false" customWidth="true" hidden="false" outlineLevel="0" max="7" min="7" style="0" width="32"/>
    <col collapsed="false" customWidth="true" hidden="false" outlineLevel="0" max="8" min="8" style="0" width="36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1" min="11" style="0" width="11"/>
    <col collapsed="false" customWidth="true" hidden="false" outlineLevel="0" max="12" min="12" style="0" width="20"/>
    <col collapsed="false" customWidth="true" hidden="false" outlineLevel="0" max="13" min="13" style="0" width="44"/>
    <col collapsed="false" customWidth="true" hidden="false" outlineLevel="0" max="15" min="14" style="0" width="12"/>
    <col collapsed="false" customWidth="true" hidden="false" outlineLevel="0" max="16" min="16" style="0" width="13"/>
    <col collapsed="false" customWidth="true" hidden="false" outlineLevel="0" max="17" min="17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customFormat="false" ht="15" hidden="false" customHeight="false" outlineLevel="0" collapsed="false">
      <c r="A5" s="4" t="s">
        <v>19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customFormat="false" ht="23.85" hidden="false" customHeight="false" outlineLevel="0" collapsed="false">
      <c r="A6" s="6" t="s">
        <v>20</v>
      </c>
      <c r="B6" s="6" t="s">
        <v>21</v>
      </c>
      <c r="C6" s="6" t="s">
        <v>22</v>
      </c>
      <c r="D6" s="6" t="s">
        <v>23</v>
      </c>
      <c r="E6" s="6" t="s">
        <v>24</v>
      </c>
      <c r="F6" s="6" t="s">
        <v>25</v>
      </c>
      <c r="G6" s="6" t="s">
        <v>26</v>
      </c>
      <c r="H6" s="6" t="s">
        <v>27</v>
      </c>
      <c r="I6" s="6" t="s">
        <v>28</v>
      </c>
      <c r="J6" s="6" t="s">
        <v>29</v>
      </c>
      <c r="K6" s="6" t="s">
        <v>30</v>
      </c>
      <c r="L6" s="6" t="s">
        <v>31</v>
      </c>
      <c r="M6" s="6" t="s">
        <v>32</v>
      </c>
      <c r="N6" s="6" t="s">
        <v>33</v>
      </c>
      <c r="O6" s="7" t="n">
        <v>46661</v>
      </c>
      <c r="P6" s="6" t="s">
        <v>34</v>
      </c>
      <c r="Q6" s="6" t="s">
        <v>35</v>
      </c>
    </row>
    <row r="7" customFormat="false" ht="23.85" hidden="false" customHeight="false" outlineLevel="0" collapsed="false">
      <c r="A7" s="6" t="s">
        <v>36</v>
      </c>
      <c r="B7" s="6" t="s">
        <v>21</v>
      </c>
      <c r="C7" s="6" t="s">
        <v>37</v>
      </c>
      <c r="D7" s="6" t="s">
        <v>38</v>
      </c>
      <c r="E7" s="6" t="s">
        <v>39</v>
      </c>
      <c r="F7" s="6" t="s">
        <v>40</v>
      </c>
      <c r="G7" s="6" t="s">
        <v>41</v>
      </c>
      <c r="H7" s="6" t="s">
        <v>42</v>
      </c>
      <c r="I7" s="6" t="s">
        <v>43</v>
      </c>
      <c r="J7" s="6" t="s">
        <v>29</v>
      </c>
      <c r="K7" s="6" t="s">
        <v>30</v>
      </c>
      <c r="L7" s="6" t="s">
        <v>31</v>
      </c>
      <c r="M7" s="6" t="s">
        <v>44</v>
      </c>
      <c r="N7" s="6" t="s">
        <v>33</v>
      </c>
      <c r="O7" s="7" t="n">
        <v>46661</v>
      </c>
      <c r="P7" s="6" t="s">
        <v>34</v>
      </c>
      <c r="Q7" s="6" t="s">
        <v>45</v>
      </c>
    </row>
    <row r="8" customFormat="false" ht="23.85" hidden="false" customHeight="false" outlineLevel="0" collapsed="false">
      <c r="A8" s="6" t="s">
        <v>46</v>
      </c>
      <c r="B8" s="6" t="s">
        <v>21</v>
      </c>
      <c r="C8" s="6" t="s">
        <v>47</v>
      </c>
      <c r="D8" s="6" t="s">
        <v>48</v>
      </c>
      <c r="E8" s="6" t="s">
        <v>49</v>
      </c>
      <c r="F8" s="6" t="s">
        <v>50</v>
      </c>
      <c r="G8" s="6" t="s">
        <v>26</v>
      </c>
      <c r="H8" s="6" t="s">
        <v>51</v>
      </c>
      <c r="I8" s="6" t="s">
        <v>28</v>
      </c>
      <c r="J8" s="6" t="s">
        <v>29</v>
      </c>
      <c r="K8" s="6" t="s">
        <v>30</v>
      </c>
      <c r="L8" s="6" t="s">
        <v>31</v>
      </c>
      <c r="M8" s="6" t="s">
        <v>52</v>
      </c>
      <c r="N8" s="6" t="s">
        <v>33</v>
      </c>
      <c r="O8" s="7" t="n">
        <v>46661</v>
      </c>
      <c r="P8" s="6" t="s">
        <v>34</v>
      </c>
      <c r="Q8" s="6" t="s">
        <v>53</v>
      </c>
    </row>
    <row r="9" customFormat="false" ht="23.85" hidden="false" customHeight="false" outlineLevel="0" collapsed="false">
      <c r="A9" s="6" t="s">
        <v>54</v>
      </c>
      <c r="B9" s="6" t="s">
        <v>21</v>
      </c>
      <c r="C9" s="6" t="s">
        <v>55</v>
      </c>
      <c r="D9" s="6" t="s">
        <v>56</v>
      </c>
      <c r="E9" s="6" t="s">
        <v>57</v>
      </c>
      <c r="F9" s="6" t="s">
        <v>58</v>
      </c>
      <c r="G9" s="6" t="s">
        <v>59</v>
      </c>
      <c r="H9" s="6" t="s">
        <v>60</v>
      </c>
      <c r="I9" s="6" t="s">
        <v>43</v>
      </c>
      <c r="J9" s="6" t="s">
        <v>61</v>
      </c>
      <c r="K9" s="6" t="s">
        <v>62</v>
      </c>
      <c r="L9" s="6" t="s">
        <v>63</v>
      </c>
      <c r="M9" s="6" t="s">
        <v>64</v>
      </c>
      <c r="N9" s="6" t="s">
        <v>65</v>
      </c>
      <c r="O9" s="7" t="n">
        <v>46418</v>
      </c>
      <c r="P9" s="6" t="s">
        <v>66</v>
      </c>
      <c r="Q9" s="6" t="s">
        <v>67</v>
      </c>
    </row>
    <row r="10" customFormat="false" ht="23.85" hidden="false" customHeight="false" outlineLevel="0" collapsed="false">
      <c r="A10" s="6" t="s">
        <v>68</v>
      </c>
      <c r="B10" s="6" t="s">
        <v>21</v>
      </c>
      <c r="C10" s="6" t="s">
        <v>69</v>
      </c>
      <c r="D10" s="6" t="s">
        <v>70</v>
      </c>
      <c r="E10" s="6" t="s">
        <v>71</v>
      </c>
      <c r="F10" s="6" t="s">
        <v>72</v>
      </c>
      <c r="G10" s="6" t="s">
        <v>73</v>
      </c>
      <c r="H10" s="6" t="s">
        <v>74</v>
      </c>
      <c r="I10" s="6" t="s">
        <v>28</v>
      </c>
      <c r="J10" s="6" t="s">
        <v>29</v>
      </c>
      <c r="K10" s="6" t="s">
        <v>30</v>
      </c>
      <c r="L10" s="6" t="s">
        <v>31</v>
      </c>
      <c r="M10" s="6" t="s">
        <v>75</v>
      </c>
      <c r="N10" s="6" t="s">
        <v>33</v>
      </c>
      <c r="O10" s="7" t="n">
        <v>46661</v>
      </c>
      <c r="P10" s="6" t="s">
        <v>34</v>
      </c>
      <c r="Q10" s="6" t="s">
        <v>76</v>
      </c>
    </row>
    <row r="11" customFormat="false" ht="35.05" hidden="false" customHeight="false" outlineLevel="0" collapsed="false">
      <c r="A11" s="6" t="s">
        <v>77</v>
      </c>
      <c r="B11" s="6" t="s">
        <v>21</v>
      </c>
      <c r="C11" s="6" t="s">
        <v>78</v>
      </c>
      <c r="D11" s="6" t="s">
        <v>79</v>
      </c>
      <c r="E11" s="6" t="s">
        <v>80</v>
      </c>
      <c r="F11" s="6" t="s">
        <v>81</v>
      </c>
      <c r="G11" s="6" t="s">
        <v>82</v>
      </c>
      <c r="H11" s="6" t="s">
        <v>83</v>
      </c>
      <c r="I11" s="6" t="s">
        <v>43</v>
      </c>
      <c r="J11" s="6" t="s">
        <v>61</v>
      </c>
      <c r="K11" s="6" t="s">
        <v>62</v>
      </c>
      <c r="L11" s="6" t="s">
        <v>31</v>
      </c>
      <c r="M11" s="6" t="s">
        <v>84</v>
      </c>
      <c r="N11" s="6" t="s">
        <v>65</v>
      </c>
      <c r="O11" s="7" t="n">
        <v>46446</v>
      </c>
      <c r="P11" s="6" t="s">
        <v>66</v>
      </c>
      <c r="Q11" s="6" t="s">
        <v>85</v>
      </c>
    </row>
    <row r="12" customFormat="false" ht="23.85" hidden="false" customHeight="false" outlineLevel="0" collapsed="false">
      <c r="A12" s="6" t="s">
        <v>86</v>
      </c>
      <c r="B12" s="6" t="s">
        <v>21</v>
      </c>
      <c r="C12" s="6" t="s">
        <v>87</v>
      </c>
      <c r="D12" s="6" t="s">
        <v>88</v>
      </c>
      <c r="E12" s="6" t="s">
        <v>89</v>
      </c>
      <c r="F12" s="6" t="s">
        <v>90</v>
      </c>
      <c r="G12" s="6" t="s">
        <v>91</v>
      </c>
      <c r="H12" s="6" t="s">
        <v>92</v>
      </c>
      <c r="I12" s="6" t="s">
        <v>28</v>
      </c>
      <c r="J12" s="6" t="s">
        <v>29</v>
      </c>
      <c r="K12" s="6" t="s">
        <v>30</v>
      </c>
      <c r="L12" s="6" t="s">
        <v>93</v>
      </c>
      <c r="M12" s="6" t="s">
        <v>94</v>
      </c>
      <c r="N12" s="6" t="s">
        <v>33</v>
      </c>
      <c r="O12" s="7" t="n">
        <v>46661</v>
      </c>
      <c r="P12" s="6" t="s">
        <v>34</v>
      </c>
      <c r="Q12" s="6" t="s">
        <v>95</v>
      </c>
    </row>
    <row r="13" customFormat="false" ht="23.85" hidden="false" customHeight="false" outlineLevel="0" collapsed="false">
      <c r="A13" s="6" t="s">
        <v>96</v>
      </c>
      <c r="B13" s="6" t="s">
        <v>21</v>
      </c>
      <c r="C13" s="6" t="s">
        <v>97</v>
      </c>
      <c r="D13" s="6" t="s">
        <v>98</v>
      </c>
      <c r="E13" s="6" t="s">
        <v>99</v>
      </c>
      <c r="F13" s="6" t="s">
        <v>100</v>
      </c>
      <c r="G13" s="6" t="s">
        <v>101</v>
      </c>
      <c r="H13" s="6" t="s">
        <v>102</v>
      </c>
      <c r="I13" s="6" t="s">
        <v>43</v>
      </c>
      <c r="J13" s="6" t="s">
        <v>61</v>
      </c>
      <c r="K13" s="6" t="s">
        <v>62</v>
      </c>
      <c r="L13" s="6" t="s">
        <v>31</v>
      </c>
      <c r="M13" s="6" t="s">
        <v>103</v>
      </c>
      <c r="N13" s="6" t="s">
        <v>65</v>
      </c>
      <c r="O13" s="7" t="n">
        <v>46477</v>
      </c>
      <c r="P13" s="6" t="s">
        <v>66</v>
      </c>
      <c r="Q13" s="6" t="s">
        <v>104</v>
      </c>
    </row>
    <row r="14" customFormat="false" ht="23.85" hidden="false" customHeight="false" outlineLevel="0" collapsed="false">
      <c r="A14" s="6" t="s">
        <v>105</v>
      </c>
      <c r="B14" s="6" t="s">
        <v>21</v>
      </c>
      <c r="C14" s="6" t="s">
        <v>106</v>
      </c>
      <c r="D14" s="6" t="s">
        <v>107</v>
      </c>
      <c r="E14" s="6" t="s">
        <v>108</v>
      </c>
      <c r="F14" s="6" t="s">
        <v>109</v>
      </c>
      <c r="G14" s="6" t="s">
        <v>110</v>
      </c>
      <c r="H14" s="6" t="s">
        <v>111</v>
      </c>
      <c r="I14" s="6" t="s">
        <v>43</v>
      </c>
      <c r="J14" s="6" t="s">
        <v>29</v>
      </c>
      <c r="K14" s="6" t="s">
        <v>30</v>
      </c>
      <c r="L14" s="6" t="s">
        <v>112</v>
      </c>
      <c r="M14" s="6" t="s">
        <v>113</v>
      </c>
      <c r="N14" s="6" t="s">
        <v>33</v>
      </c>
      <c r="O14" s="7" t="n">
        <v>46661</v>
      </c>
      <c r="P14" s="6" t="s">
        <v>34</v>
      </c>
      <c r="Q14" s="6" t="s">
        <v>114</v>
      </c>
    </row>
    <row r="15" customFormat="false" ht="23.85" hidden="false" customHeight="false" outlineLevel="0" collapsed="false">
      <c r="A15" s="6" t="s">
        <v>115</v>
      </c>
      <c r="B15" s="6" t="s">
        <v>21</v>
      </c>
      <c r="C15" s="6" t="s">
        <v>116</v>
      </c>
      <c r="D15" s="6" t="s">
        <v>117</v>
      </c>
      <c r="E15" s="6" t="s">
        <v>118</v>
      </c>
      <c r="F15" s="6" t="s">
        <v>119</v>
      </c>
      <c r="G15" s="6" t="s">
        <v>120</v>
      </c>
      <c r="H15" s="6" t="s">
        <v>121</v>
      </c>
      <c r="I15" s="6" t="s">
        <v>43</v>
      </c>
      <c r="J15" s="6" t="s">
        <v>29</v>
      </c>
      <c r="K15" s="6" t="s">
        <v>30</v>
      </c>
      <c r="L15" s="6" t="s">
        <v>93</v>
      </c>
      <c r="M15" s="6" t="s">
        <v>32</v>
      </c>
      <c r="N15" s="6" t="s">
        <v>33</v>
      </c>
      <c r="O15" s="7" t="n">
        <v>46661</v>
      </c>
      <c r="P15" s="6" t="s">
        <v>34</v>
      </c>
      <c r="Q15" s="6" t="s">
        <v>122</v>
      </c>
    </row>
    <row r="16" customFormat="false" ht="23.85" hidden="false" customHeight="false" outlineLevel="0" collapsed="false">
      <c r="A16" s="6" t="s">
        <v>123</v>
      </c>
      <c r="B16" s="6" t="s">
        <v>21</v>
      </c>
      <c r="C16" s="6" t="s">
        <v>124</v>
      </c>
      <c r="D16" s="6" t="s">
        <v>125</v>
      </c>
      <c r="E16" s="6" t="s">
        <v>126</v>
      </c>
      <c r="F16" s="6" t="s">
        <v>127</v>
      </c>
      <c r="G16" s="6" t="s">
        <v>128</v>
      </c>
      <c r="H16" s="6" t="s">
        <v>129</v>
      </c>
      <c r="I16" s="6" t="s">
        <v>28</v>
      </c>
      <c r="J16" s="6" t="s">
        <v>29</v>
      </c>
      <c r="K16" s="6" t="s">
        <v>30</v>
      </c>
      <c r="L16" s="6" t="s">
        <v>31</v>
      </c>
      <c r="M16" s="6" t="s">
        <v>130</v>
      </c>
      <c r="N16" s="6" t="s">
        <v>33</v>
      </c>
      <c r="O16" s="7" t="n">
        <v>46661</v>
      </c>
      <c r="P16" s="6" t="s">
        <v>34</v>
      </c>
      <c r="Q16" s="6" t="s">
        <v>131</v>
      </c>
    </row>
    <row r="17" customFormat="false" ht="35.05" hidden="false" customHeight="false" outlineLevel="0" collapsed="false">
      <c r="A17" s="6" t="s">
        <v>132</v>
      </c>
      <c r="B17" s="6" t="s">
        <v>21</v>
      </c>
      <c r="C17" s="6" t="s">
        <v>133</v>
      </c>
      <c r="D17" s="6" t="s">
        <v>134</v>
      </c>
      <c r="E17" s="6" t="s">
        <v>135</v>
      </c>
      <c r="F17" s="6" t="s">
        <v>136</v>
      </c>
      <c r="G17" s="6" t="s">
        <v>137</v>
      </c>
      <c r="H17" s="6" t="s">
        <v>138</v>
      </c>
      <c r="I17" s="6" t="s">
        <v>43</v>
      </c>
      <c r="J17" s="6" t="s">
        <v>61</v>
      </c>
      <c r="K17" s="6" t="s">
        <v>62</v>
      </c>
      <c r="L17" s="6" t="s">
        <v>139</v>
      </c>
      <c r="M17" s="6" t="s">
        <v>140</v>
      </c>
      <c r="N17" s="6" t="s">
        <v>65</v>
      </c>
      <c r="O17" s="7" t="n">
        <v>46477</v>
      </c>
      <c r="P17" s="6" t="s">
        <v>66</v>
      </c>
      <c r="Q17" s="6" t="s">
        <v>141</v>
      </c>
    </row>
    <row r="18" customFormat="false" ht="35.05" hidden="false" customHeight="false" outlineLevel="0" collapsed="false">
      <c r="A18" s="6" t="s">
        <v>142</v>
      </c>
      <c r="B18" s="6" t="s">
        <v>21</v>
      </c>
      <c r="C18" s="6" t="s">
        <v>143</v>
      </c>
      <c r="D18" s="6" t="s">
        <v>144</v>
      </c>
      <c r="E18" s="6" t="s">
        <v>145</v>
      </c>
      <c r="F18" s="6" t="s">
        <v>144</v>
      </c>
      <c r="G18" s="6" t="s">
        <v>146</v>
      </c>
      <c r="H18" s="6" t="s">
        <v>147</v>
      </c>
      <c r="I18" s="6" t="s">
        <v>28</v>
      </c>
      <c r="J18" s="6" t="s">
        <v>29</v>
      </c>
      <c r="K18" s="6" t="s">
        <v>30</v>
      </c>
      <c r="L18" s="6" t="s">
        <v>93</v>
      </c>
      <c r="M18" s="6" t="s">
        <v>148</v>
      </c>
      <c r="N18" s="6" t="s">
        <v>33</v>
      </c>
      <c r="O18" s="7" t="n">
        <v>46661</v>
      </c>
      <c r="P18" s="6" t="s">
        <v>34</v>
      </c>
      <c r="Q18" s="6" t="s">
        <v>149</v>
      </c>
    </row>
    <row r="19" customFormat="false" ht="23.85" hidden="false" customHeight="false" outlineLevel="0" collapsed="false">
      <c r="A19" s="6" t="s">
        <v>150</v>
      </c>
      <c r="B19" s="6" t="s">
        <v>21</v>
      </c>
      <c r="C19" s="6" t="s">
        <v>151</v>
      </c>
      <c r="D19" s="6" t="s">
        <v>152</v>
      </c>
      <c r="E19" s="6" t="s">
        <v>153</v>
      </c>
      <c r="F19" s="6" t="s">
        <v>154</v>
      </c>
      <c r="G19" s="6" t="s">
        <v>155</v>
      </c>
      <c r="H19" s="6" t="s">
        <v>156</v>
      </c>
      <c r="I19" s="6" t="s">
        <v>28</v>
      </c>
      <c r="J19" s="6" t="s">
        <v>29</v>
      </c>
      <c r="K19" s="6" t="s">
        <v>30</v>
      </c>
      <c r="L19" s="6" t="s">
        <v>93</v>
      </c>
      <c r="M19" s="6" t="s">
        <v>52</v>
      </c>
      <c r="N19" s="6" t="s">
        <v>33</v>
      </c>
      <c r="O19" s="7" t="n">
        <v>46661</v>
      </c>
      <c r="P19" s="6" t="s">
        <v>34</v>
      </c>
      <c r="Q19" s="6" t="s">
        <v>157</v>
      </c>
    </row>
    <row r="20" customFormat="false" ht="23.85" hidden="false" customHeight="false" outlineLevel="0" collapsed="false">
      <c r="A20" s="6" t="s">
        <v>158</v>
      </c>
      <c r="B20" s="6" t="s">
        <v>21</v>
      </c>
      <c r="C20" s="6" t="s">
        <v>159</v>
      </c>
      <c r="D20" s="6" t="s">
        <v>160</v>
      </c>
      <c r="E20" s="6" t="s">
        <v>161</v>
      </c>
      <c r="F20" s="6" t="s">
        <v>162</v>
      </c>
      <c r="G20" s="6" t="s">
        <v>163</v>
      </c>
      <c r="H20" s="6" t="s">
        <v>164</v>
      </c>
      <c r="I20" s="6" t="s">
        <v>43</v>
      </c>
      <c r="J20" s="6" t="s">
        <v>61</v>
      </c>
      <c r="K20" s="6" t="s">
        <v>62</v>
      </c>
      <c r="L20" s="6" t="s">
        <v>31</v>
      </c>
      <c r="M20" s="6" t="s">
        <v>165</v>
      </c>
      <c r="N20" s="6" t="s">
        <v>65</v>
      </c>
      <c r="O20" s="7" t="n">
        <v>46507</v>
      </c>
      <c r="P20" s="6" t="s">
        <v>66</v>
      </c>
      <c r="Q20" s="6" t="s">
        <v>166</v>
      </c>
    </row>
    <row r="21" customFormat="false" ht="35.05" hidden="false" customHeight="false" outlineLevel="0" collapsed="false">
      <c r="A21" s="6" t="s">
        <v>167</v>
      </c>
      <c r="B21" s="6" t="s">
        <v>21</v>
      </c>
      <c r="C21" s="6" t="s">
        <v>168</v>
      </c>
      <c r="D21" s="6" t="s">
        <v>169</v>
      </c>
      <c r="E21" s="6" t="s">
        <v>170</v>
      </c>
      <c r="F21" s="6" t="s">
        <v>171</v>
      </c>
      <c r="G21" s="6" t="s">
        <v>172</v>
      </c>
      <c r="H21" s="6" t="s">
        <v>173</v>
      </c>
      <c r="I21" s="6" t="s">
        <v>43</v>
      </c>
      <c r="J21" s="6" t="s">
        <v>61</v>
      </c>
      <c r="K21" s="6" t="s">
        <v>62</v>
      </c>
      <c r="L21" s="6" t="s">
        <v>174</v>
      </c>
      <c r="M21" s="6" t="s">
        <v>175</v>
      </c>
      <c r="N21" s="6" t="s">
        <v>65</v>
      </c>
      <c r="O21" s="7" t="n">
        <v>46538</v>
      </c>
      <c r="P21" s="6" t="s">
        <v>176</v>
      </c>
      <c r="Q21" s="6" t="s">
        <v>177</v>
      </c>
    </row>
    <row r="22" customFormat="false" ht="15" hidden="false" customHeight="false" outlineLevel="0" collapsed="false">
      <c r="A22" s="4" t="s">
        <v>178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</row>
    <row r="23" customFormat="false" ht="23.85" hidden="false" customHeight="false" outlineLevel="0" collapsed="false">
      <c r="A23" s="6" t="s">
        <v>179</v>
      </c>
      <c r="B23" s="6" t="s">
        <v>21</v>
      </c>
      <c r="C23" s="6" t="s">
        <v>180</v>
      </c>
      <c r="D23" s="6" t="s">
        <v>181</v>
      </c>
      <c r="E23" s="6" t="s">
        <v>182</v>
      </c>
      <c r="F23" s="6" t="s">
        <v>72</v>
      </c>
      <c r="G23" s="6" t="s">
        <v>73</v>
      </c>
      <c r="H23" s="6" t="s">
        <v>183</v>
      </c>
      <c r="I23" s="6" t="s">
        <v>28</v>
      </c>
      <c r="J23" s="6" t="s">
        <v>29</v>
      </c>
      <c r="K23" s="6" t="s">
        <v>30</v>
      </c>
      <c r="L23" s="6" t="s">
        <v>31</v>
      </c>
      <c r="M23" s="6" t="s">
        <v>184</v>
      </c>
      <c r="N23" s="6" t="s">
        <v>33</v>
      </c>
      <c r="O23" s="7" t="n">
        <v>46661</v>
      </c>
      <c r="P23" s="6" t="s">
        <v>34</v>
      </c>
      <c r="Q23" s="6" t="s">
        <v>185</v>
      </c>
    </row>
    <row r="24" customFormat="false" ht="23.85" hidden="false" customHeight="false" outlineLevel="0" collapsed="false">
      <c r="A24" s="6" t="s">
        <v>186</v>
      </c>
      <c r="B24" s="6" t="s">
        <v>21</v>
      </c>
      <c r="C24" s="6" t="s">
        <v>187</v>
      </c>
      <c r="D24" s="6" t="s">
        <v>188</v>
      </c>
      <c r="E24" s="6" t="s">
        <v>189</v>
      </c>
      <c r="F24" s="6" t="s">
        <v>190</v>
      </c>
      <c r="G24" s="6" t="s">
        <v>191</v>
      </c>
      <c r="H24" s="6" t="s">
        <v>192</v>
      </c>
      <c r="I24" s="6" t="s">
        <v>43</v>
      </c>
      <c r="J24" s="6" t="s">
        <v>61</v>
      </c>
      <c r="K24" s="6" t="s">
        <v>62</v>
      </c>
      <c r="L24" s="6" t="s">
        <v>193</v>
      </c>
      <c r="M24" s="6" t="s">
        <v>194</v>
      </c>
      <c r="N24" s="6" t="s">
        <v>65</v>
      </c>
      <c r="O24" s="7" t="n">
        <v>46446</v>
      </c>
      <c r="P24" s="6" t="s">
        <v>66</v>
      </c>
      <c r="Q24" s="6" t="s">
        <v>195</v>
      </c>
    </row>
    <row r="25" customFormat="false" ht="23.85" hidden="false" customHeight="false" outlineLevel="0" collapsed="false">
      <c r="A25" s="6" t="s">
        <v>196</v>
      </c>
      <c r="B25" s="6" t="s">
        <v>21</v>
      </c>
      <c r="C25" s="6" t="s">
        <v>197</v>
      </c>
      <c r="D25" s="6" t="s">
        <v>198</v>
      </c>
      <c r="E25" s="6" t="s">
        <v>199</v>
      </c>
      <c r="F25" s="6" t="s">
        <v>200</v>
      </c>
      <c r="G25" s="6" t="s">
        <v>191</v>
      </c>
      <c r="H25" s="6" t="s">
        <v>201</v>
      </c>
      <c r="I25" s="6" t="s">
        <v>43</v>
      </c>
      <c r="J25" s="6" t="s">
        <v>61</v>
      </c>
      <c r="K25" s="6" t="s">
        <v>62</v>
      </c>
      <c r="L25" s="6" t="s">
        <v>193</v>
      </c>
      <c r="M25" s="6" t="s">
        <v>202</v>
      </c>
      <c r="N25" s="6" t="s">
        <v>65</v>
      </c>
      <c r="O25" s="7" t="n">
        <v>46446</v>
      </c>
      <c r="P25" s="6" t="s">
        <v>66</v>
      </c>
      <c r="Q25" s="6" t="s">
        <v>203</v>
      </c>
    </row>
    <row r="26" customFormat="false" ht="23.85" hidden="false" customHeight="false" outlineLevel="0" collapsed="false">
      <c r="A26" s="6" t="s">
        <v>204</v>
      </c>
      <c r="B26" s="6" t="s">
        <v>21</v>
      </c>
      <c r="C26" s="6" t="s">
        <v>205</v>
      </c>
      <c r="D26" s="6" t="s">
        <v>206</v>
      </c>
      <c r="E26" s="6" t="s">
        <v>207</v>
      </c>
      <c r="F26" s="6" t="s">
        <v>208</v>
      </c>
      <c r="G26" s="6" t="s">
        <v>209</v>
      </c>
      <c r="H26" s="6" t="s">
        <v>210</v>
      </c>
      <c r="I26" s="6" t="s">
        <v>28</v>
      </c>
      <c r="J26" s="6" t="s">
        <v>29</v>
      </c>
      <c r="K26" s="6" t="s">
        <v>30</v>
      </c>
      <c r="L26" s="6" t="s">
        <v>139</v>
      </c>
      <c r="M26" s="6" t="s">
        <v>184</v>
      </c>
      <c r="N26" s="6" t="s">
        <v>33</v>
      </c>
      <c r="O26" s="7" t="n">
        <v>46661</v>
      </c>
      <c r="P26" s="6" t="s">
        <v>34</v>
      </c>
      <c r="Q26" s="6" t="s">
        <v>211</v>
      </c>
    </row>
    <row r="27" customFormat="false" ht="23.85" hidden="false" customHeight="false" outlineLevel="0" collapsed="false">
      <c r="A27" s="6" t="s">
        <v>212</v>
      </c>
      <c r="B27" s="6" t="s">
        <v>21</v>
      </c>
      <c r="C27" s="6" t="s">
        <v>213</v>
      </c>
      <c r="D27" s="6" t="s">
        <v>214</v>
      </c>
      <c r="E27" s="6" t="s">
        <v>215</v>
      </c>
      <c r="F27" s="6" t="s">
        <v>216</v>
      </c>
      <c r="G27" s="6" t="s">
        <v>209</v>
      </c>
      <c r="H27" s="6" t="s">
        <v>217</v>
      </c>
      <c r="I27" s="6" t="s">
        <v>43</v>
      </c>
      <c r="J27" s="6" t="s">
        <v>29</v>
      </c>
      <c r="K27" s="6" t="s">
        <v>30</v>
      </c>
      <c r="L27" s="6" t="s">
        <v>139</v>
      </c>
      <c r="M27" s="6" t="s">
        <v>218</v>
      </c>
      <c r="N27" s="6" t="s">
        <v>33</v>
      </c>
      <c r="O27" s="7" t="n">
        <v>46661</v>
      </c>
      <c r="P27" s="6" t="s">
        <v>34</v>
      </c>
      <c r="Q27" s="6" t="s">
        <v>219</v>
      </c>
    </row>
    <row r="28" customFormat="false" ht="23.85" hidden="false" customHeight="false" outlineLevel="0" collapsed="false">
      <c r="A28" s="6" t="s">
        <v>220</v>
      </c>
      <c r="B28" s="6" t="s">
        <v>21</v>
      </c>
      <c r="C28" s="6" t="s">
        <v>221</v>
      </c>
      <c r="D28" s="6" t="s">
        <v>208</v>
      </c>
      <c r="E28" s="6" t="s">
        <v>222</v>
      </c>
      <c r="F28" s="6" t="s">
        <v>223</v>
      </c>
      <c r="G28" s="6" t="s">
        <v>209</v>
      </c>
      <c r="H28" s="6" t="s">
        <v>224</v>
      </c>
      <c r="I28" s="6" t="s">
        <v>28</v>
      </c>
      <c r="J28" s="6" t="s">
        <v>29</v>
      </c>
      <c r="K28" s="6" t="s">
        <v>30</v>
      </c>
      <c r="L28" s="6" t="s">
        <v>139</v>
      </c>
      <c r="M28" s="6" t="s">
        <v>184</v>
      </c>
      <c r="N28" s="6" t="s">
        <v>33</v>
      </c>
      <c r="O28" s="7" t="n">
        <v>46661</v>
      </c>
      <c r="P28" s="6" t="s">
        <v>34</v>
      </c>
      <c r="Q28" s="6" t="s">
        <v>225</v>
      </c>
    </row>
    <row r="29" customFormat="false" ht="23.85" hidden="false" customHeight="false" outlineLevel="0" collapsed="false">
      <c r="A29" s="6" t="s">
        <v>226</v>
      </c>
      <c r="B29" s="6" t="s">
        <v>21</v>
      </c>
      <c r="C29" s="6" t="s">
        <v>227</v>
      </c>
      <c r="D29" s="6" t="s">
        <v>228</v>
      </c>
      <c r="E29" s="6" t="s">
        <v>229</v>
      </c>
      <c r="F29" s="6" t="s">
        <v>230</v>
      </c>
      <c r="G29" s="6" t="s">
        <v>231</v>
      </c>
      <c r="H29" s="6" t="s">
        <v>232</v>
      </c>
      <c r="I29" s="6" t="s">
        <v>233</v>
      </c>
      <c r="J29" s="6" t="s">
        <v>61</v>
      </c>
      <c r="K29" s="6" t="s">
        <v>62</v>
      </c>
      <c r="L29" s="6" t="s">
        <v>139</v>
      </c>
      <c r="M29" s="6" t="s">
        <v>234</v>
      </c>
      <c r="N29" s="6" t="s">
        <v>65</v>
      </c>
      <c r="O29" s="7" t="n">
        <v>46507</v>
      </c>
      <c r="P29" s="6" t="s">
        <v>176</v>
      </c>
      <c r="Q29" s="6" t="s">
        <v>235</v>
      </c>
    </row>
    <row r="30" customFormat="false" ht="23.85" hidden="false" customHeight="false" outlineLevel="0" collapsed="false">
      <c r="A30" s="6" t="s">
        <v>236</v>
      </c>
      <c r="B30" s="6" t="s">
        <v>21</v>
      </c>
      <c r="C30" s="6" t="s">
        <v>237</v>
      </c>
      <c r="D30" s="6" t="s">
        <v>238</v>
      </c>
      <c r="E30" s="6" t="s">
        <v>239</v>
      </c>
      <c r="F30" s="6" t="s">
        <v>240</v>
      </c>
      <c r="G30" s="6" t="s">
        <v>241</v>
      </c>
      <c r="H30" s="6" t="s">
        <v>242</v>
      </c>
      <c r="I30" s="6" t="s">
        <v>28</v>
      </c>
      <c r="J30" s="6" t="s">
        <v>29</v>
      </c>
      <c r="K30" s="6" t="s">
        <v>30</v>
      </c>
      <c r="L30" s="6" t="s">
        <v>243</v>
      </c>
      <c r="M30" s="6" t="s">
        <v>184</v>
      </c>
      <c r="N30" s="6" t="s">
        <v>33</v>
      </c>
      <c r="O30" s="7" t="n">
        <v>46661</v>
      </c>
      <c r="P30" s="6" t="s">
        <v>34</v>
      </c>
      <c r="Q30" s="6" t="s">
        <v>244</v>
      </c>
    </row>
    <row r="31" customFormat="false" ht="23.85" hidden="false" customHeight="false" outlineLevel="0" collapsed="false">
      <c r="A31" s="6" t="s">
        <v>245</v>
      </c>
      <c r="B31" s="6" t="s">
        <v>21</v>
      </c>
      <c r="C31" s="6" t="s">
        <v>246</v>
      </c>
      <c r="D31" s="6" t="s">
        <v>247</v>
      </c>
      <c r="E31" s="6" t="s">
        <v>248</v>
      </c>
      <c r="F31" s="6" t="s">
        <v>249</v>
      </c>
      <c r="G31" s="6" t="s">
        <v>250</v>
      </c>
      <c r="H31" s="6" t="s">
        <v>251</v>
      </c>
      <c r="I31" s="6" t="s">
        <v>28</v>
      </c>
      <c r="J31" s="6" t="s">
        <v>29</v>
      </c>
      <c r="K31" s="6" t="s">
        <v>30</v>
      </c>
      <c r="L31" s="6" t="s">
        <v>139</v>
      </c>
      <c r="M31" s="6" t="s">
        <v>252</v>
      </c>
      <c r="N31" s="6" t="s">
        <v>33</v>
      </c>
      <c r="O31" s="7" t="n">
        <v>46661</v>
      </c>
      <c r="P31" s="6" t="s">
        <v>34</v>
      </c>
      <c r="Q31" s="6" t="s">
        <v>253</v>
      </c>
    </row>
    <row r="32" customFormat="false" ht="23.85" hidden="false" customHeight="false" outlineLevel="0" collapsed="false">
      <c r="A32" s="6" t="s">
        <v>254</v>
      </c>
      <c r="B32" s="6" t="s">
        <v>21</v>
      </c>
      <c r="C32" s="6" t="s">
        <v>255</v>
      </c>
      <c r="D32" s="6" t="s">
        <v>256</v>
      </c>
      <c r="E32" s="6" t="s">
        <v>257</v>
      </c>
      <c r="F32" s="6" t="s">
        <v>258</v>
      </c>
      <c r="G32" s="6" t="s">
        <v>259</v>
      </c>
      <c r="H32" s="6" t="s">
        <v>260</v>
      </c>
      <c r="I32" s="6" t="s">
        <v>43</v>
      </c>
      <c r="J32" s="6" t="s">
        <v>61</v>
      </c>
      <c r="K32" s="6" t="s">
        <v>62</v>
      </c>
      <c r="L32" s="6" t="s">
        <v>139</v>
      </c>
      <c r="M32" s="6" t="s">
        <v>261</v>
      </c>
      <c r="N32" s="6" t="s">
        <v>65</v>
      </c>
      <c r="O32" s="7" t="n">
        <v>46538</v>
      </c>
      <c r="P32" s="6" t="s">
        <v>66</v>
      </c>
      <c r="Q32" s="6" t="s">
        <v>262</v>
      </c>
    </row>
    <row r="33" customFormat="false" ht="35.05" hidden="false" customHeight="false" outlineLevel="0" collapsed="false">
      <c r="A33" s="6" t="s">
        <v>263</v>
      </c>
      <c r="B33" s="6" t="s">
        <v>21</v>
      </c>
      <c r="C33" s="6" t="s">
        <v>264</v>
      </c>
      <c r="D33" s="6" t="s">
        <v>265</v>
      </c>
      <c r="E33" s="6" t="s">
        <v>266</v>
      </c>
      <c r="F33" s="6" t="s">
        <v>267</v>
      </c>
      <c r="G33" s="6" t="s">
        <v>268</v>
      </c>
      <c r="H33" s="6" t="s">
        <v>269</v>
      </c>
      <c r="I33" s="6" t="s">
        <v>43</v>
      </c>
      <c r="J33" s="6" t="s">
        <v>61</v>
      </c>
      <c r="K33" s="6" t="s">
        <v>62</v>
      </c>
      <c r="L33" s="6" t="s">
        <v>270</v>
      </c>
      <c r="M33" s="6" t="s">
        <v>271</v>
      </c>
      <c r="N33" s="6" t="s">
        <v>65</v>
      </c>
      <c r="O33" s="7" t="n">
        <v>46477</v>
      </c>
      <c r="P33" s="6" t="s">
        <v>66</v>
      </c>
      <c r="Q33" s="6" t="s">
        <v>272</v>
      </c>
    </row>
    <row r="34" customFormat="false" ht="23.85" hidden="false" customHeight="false" outlineLevel="0" collapsed="false">
      <c r="A34" s="6" t="s">
        <v>273</v>
      </c>
      <c r="B34" s="6" t="s">
        <v>21</v>
      </c>
      <c r="C34" s="6" t="s">
        <v>274</v>
      </c>
      <c r="D34" s="6" t="s">
        <v>275</v>
      </c>
      <c r="E34" s="6" t="s">
        <v>276</v>
      </c>
      <c r="F34" s="6" t="s">
        <v>277</v>
      </c>
      <c r="G34" s="6" t="s">
        <v>278</v>
      </c>
      <c r="H34" s="6" t="s">
        <v>279</v>
      </c>
      <c r="I34" s="6" t="s">
        <v>43</v>
      </c>
      <c r="J34" s="6" t="s">
        <v>61</v>
      </c>
      <c r="K34" s="6" t="s">
        <v>62</v>
      </c>
      <c r="L34" s="6" t="s">
        <v>93</v>
      </c>
      <c r="M34" s="6" t="s">
        <v>280</v>
      </c>
      <c r="N34" s="6" t="s">
        <v>65</v>
      </c>
      <c r="O34" s="7" t="n">
        <v>46538</v>
      </c>
      <c r="P34" s="6" t="s">
        <v>176</v>
      </c>
      <c r="Q34" s="6" t="s">
        <v>281</v>
      </c>
    </row>
    <row r="35" customFormat="false" ht="15" hidden="false" customHeight="false" outlineLevel="0" collapsed="false">
      <c r="A35" s="4" t="s">
        <v>282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customFormat="false" ht="23.85" hidden="false" customHeight="false" outlineLevel="0" collapsed="false">
      <c r="A36" s="6" t="s">
        <v>283</v>
      </c>
      <c r="B36" s="6" t="s">
        <v>284</v>
      </c>
      <c r="C36" s="6" t="s">
        <v>285</v>
      </c>
      <c r="D36" s="6" t="s">
        <v>286</v>
      </c>
      <c r="E36" s="6" t="s">
        <v>287</v>
      </c>
      <c r="F36" s="6" t="s">
        <v>288</v>
      </c>
      <c r="G36" s="6" t="s">
        <v>289</v>
      </c>
      <c r="H36" s="6" t="s">
        <v>290</v>
      </c>
      <c r="I36" s="6" t="s">
        <v>28</v>
      </c>
      <c r="J36" s="6" t="s">
        <v>29</v>
      </c>
      <c r="K36" s="6" t="s">
        <v>30</v>
      </c>
      <c r="L36" s="6" t="s">
        <v>31</v>
      </c>
      <c r="M36" s="6" t="s">
        <v>184</v>
      </c>
      <c r="N36" s="6" t="s">
        <v>33</v>
      </c>
      <c r="O36" s="7" t="n">
        <v>46661</v>
      </c>
      <c r="P36" s="6" t="s">
        <v>34</v>
      </c>
      <c r="Q36" s="6" t="s">
        <v>291</v>
      </c>
    </row>
    <row r="37" customFormat="false" ht="23.85" hidden="false" customHeight="false" outlineLevel="0" collapsed="false">
      <c r="A37" s="6" t="s">
        <v>292</v>
      </c>
      <c r="B37" s="6" t="s">
        <v>284</v>
      </c>
      <c r="C37" s="6" t="s">
        <v>293</v>
      </c>
      <c r="D37" s="6" t="s">
        <v>286</v>
      </c>
      <c r="E37" s="6" t="s">
        <v>294</v>
      </c>
      <c r="F37" s="6" t="s">
        <v>295</v>
      </c>
      <c r="G37" s="6" t="s">
        <v>289</v>
      </c>
      <c r="H37" s="6" t="s">
        <v>296</v>
      </c>
      <c r="I37" s="6" t="s">
        <v>43</v>
      </c>
      <c r="J37" s="6" t="s">
        <v>61</v>
      </c>
      <c r="K37" s="6" t="s">
        <v>62</v>
      </c>
      <c r="L37" s="6" t="s">
        <v>31</v>
      </c>
      <c r="M37" s="6" t="s">
        <v>297</v>
      </c>
      <c r="N37" s="6" t="s">
        <v>65</v>
      </c>
      <c r="O37" s="7" t="n">
        <v>46446</v>
      </c>
      <c r="P37" s="6" t="s">
        <v>66</v>
      </c>
      <c r="Q37" s="6" t="s">
        <v>298</v>
      </c>
    </row>
    <row r="38" customFormat="false" ht="23.85" hidden="false" customHeight="false" outlineLevel="0" collapsed="false">
      <c r="A38" s="6" t="s">
        <v>299</v>
      </c>
      <c r="B38" s="6" t="s">
        <v>284</v>
      </c>
      <c r="C38" s="6" t="s">
        <v>300</v>
      </c>
      <c r="D38" s="6" t="s">
        <v>286</v>
      </c>
      <c r="E38" s="6" t="s">
        <v>301</v>
      </c>
      <c r="F38" s="6" t="s">
        <v>302</v>
      </c>
      <c r="G38" s="6" t="s">
        <v>73</v>
      </c>
      <c r="H38" s="6" t="s">
        <v>303</v>
      </c>
      <c r="I38" s="6" t="s">
        <v>28</v>
      </c>
      <c r="J38" s="6" t="s">
        <v>29</v>
      </c>
      <c r="K38" s="6" t="s">
        <v>30</v>
      </c>
      <c r="L38" s="6" t="s">
        <v>31</v>
      </c>
      <c r="M38" s="6" t="s">
        <v>184</v>
      </c>
      <c r="N38" s="6" t="s">
        <v>33</v>
      </c>
      <c r="O38" s="7" t="n">
        <v>46661</v>
      </c>
      <c r="P38" s="6" t="s">
        <v>34</v>
      </c>
      <c r="Q38" s="6" t="s">
        <v>185</v>
      </c>
    </row>
    <row r="39" customFormat="false" ht="23.85" hidden="false" customHeight="false" outlineLevel="0" collapsed="false">
      <c r="A39" s="6" t="s">
        <v>304</v>
      </c>
      <c r="B39" s="6" t="s">
        <v>284</v>
      </c>
      <c r="C39" s="6" t="s">
        <v>305</v>
      </c>
      <c r="D39" s="6" t="s">
        <v>306</v>
      </c>
      <c r="E39" s="6" t="s">
        <v>307</v>
      </c>
      <c r="F39" s="6" t="s">
        <v>308</v>
      </c>
      <c r="G39" s="6" t="s">
        <v>309</v>
      </c>
      <c r="H39" s="6" t="s">
        <v>310</v>
      </c>
      <c r="I39" s="6" t="s">
        <v>43</v>
      </c>
      <c r="J39" s="6" t="s">
        <v>61</v>
      </c>
      <c r="K39" s="6" t="s">
        <v>62</v>
      </c>
      <c r="L39" s="6" t="s">
        <v>193</v>
      </c>
      <c r="M39" s="6" t="s">
        <v>311</v>
      </c>
      <c r="N39" s="6" t="s">
        <v>65</v>
      </c>
      <c r="O39" s="7" t="n">
        <v>46477</v>
      </c>
      <c r="P39" s="6" t="s">
        <v>66</v>
      </c>
      <c r="Q39" s="6" t="s">
        <v>312</v>
      </c>
    </row>
    <row r="40" customFormat="false" ht="23.85" hidden="false" customHeight="false" outlineLevel="0" collapsed="false">
      <c r="A40" s="6" t="s">
        <v>313</v>
      </c>
      <c r="B40" s="6" t="s">
        <v>284</v>
      </c>
      <c r="C40" s="6" t="s">
        <v>314</v>
      </c>
      <c r="D40" s="6" t="s">
        <v>306</v>
      </c>
      <c r="E40" s="6" t="s">
        <v>315</v>
      </c>
      <c r="F40" s="6" t="s">
        <v>316</v>
      </c>
      <c r="G40" s="6" t="s">
        <v>91</v>
      </c>
      <c r="H40" s="6" t="s">
        <v>317</v>
      </c>
      <c r="I40" s="6" t="s">
        <v>28</v>
      </c>
      <c r="J40" s="6" t="s">
        <v>29</v>
      </c>
      <c r="K40" s="6" t="s">
        <v>30</v>
      </c>
      <c r="L40" s="6" t="s">
        <v>93</v>
      </c>
      <c r="M40" s="6" t="s">
        <v>184</v>
      </c>
      <c r="N40" s="6" t="s">
        <v>33</v>
      </c>
      <c r="O40" s="7" t="n">
        <v>46661</v>
      </c>
      <c r="P40" s="6" t="s">
        <v>34</v>
      </c>
      <c r="Q40" s="6" t="s">
        <v>318</v>
      </c>
    </row>
    <row r="41" customFormat="false" ht="23.85" hidden="false" customHeight="false" outlineLevel="0" collapsed="false">
      <c r="A41" s="6" t="s">
        <v>319</v>
      </c>
      <c r="B41" s="6" t="s">
        <v>284</v>
      </c>
      <c r="C41" s="6" t="s">
        <v>320</v>
      </c>
      <c r="D41" s="6" t="s">
        <v>321</v>
      </c>
      <c r="E41" s="6" t="s">
        <v>322</v>
      </c>
      <c r="F41" s="6" t="s">
        <v>323</v>
      </c>
      <c r="G41" s="6" t="s">
        <v>191</v>
      </c>
      <c r="H41" s="6" t="s">
        <v>324</v>
      </c>
      <c r="I41" s="6" t="s">
        <v>43</v>
      </c>
      <c r="J41" s="6" t="s">
        <v>61</v>
      </c>
      <c r="K41" s="6" t="s">
        <v>62</v>
      </c>
      <c r="L41" s="6" t="s">
        <v>193</v>
      </c>
      <c r="M41" s="6" t="s">
        <v>325</v>
      </c>
      <c r="N41" s="6" t="s">
        <v>65</v>
      </c>
      <c r="O41" s="7" t="n">
        <v>46446</v>
      </c>
      <c r="P41" s="6" t="s">
        <v>66</v>
      </c>
      <c r="Q41" s="6" t="s">
        <v>326</v>
      </c>
    </row>
    <row r="42" customFormat="false" ht="23.85" hidden="false" customHeight="false" outlineLevel="0" collapsed="false">
      <c r="A42" s="6" t="s">
        <v>327</v>
      </c>
      <c r="B42" s="6" t="s">
        <v>284</v>
      </c>
      <c r="C42" s="6" t="s">
        <v>328</v>
      </c>
      <c r="D42" s="6" t="s">
        <v>321</v>
      </c>
      <c r="E42" s="6" t="s">
        <v>329</v>
      </c>
      <c r="F42" s="6" t="s">
        <v>330</v>
      </c>
      <c r="G42" s="6" t="s">
        <v>331</v>
      </c>
      <c r="H42" s="6" t="s">
        <v>332</v>
      </c>
      <c r="I42" s="6" t="s">
        <v>43</v>
      </c>
      <c r="J42" s="6" t="s">
        <v>29</v>
      </c>
      <c r="K42" s="6" t="s">
        <v>30</v>
      </c>
      <c r="L42" s="6" t="s">
        <v>112</v>
      </c>
      <c r="M42" s="6" t="s">
        <v>184</v>
      </c>
      <c r="N42" s="6" t="s">
        <v>33</v>
      </c>
      <c r="O42" s="7" t="n">
        <v>46661</v>
      </c>
      <c r="P42" s="6" t="s">
        <v>34</v>
      </c>
      <c r="Q42" s="6" t="s">
        <v>333</v>
      </c>
    </row>
    <row r="43" customFormat="false" ht="23.85" hidden="false" customHeight="false" outlineLevel="0" collapsed="false">
      <c r="A43" s="6" t="s">
        <v>334</v>
      </c>
      <c r="B43" s="6" t="s">
        <v>284</v>
      </c>
      <c r="C43" s="6" t="s">
        <v>335</v>
      </c>
      <c r="D43" s="6" t="s">
        <v>336</v>
      </c>
      <c r="E43" s="6" t="s">
        <v>337</v>
      </c>
      <c r="F43" s="6" t="s">
        <v>338</v>
      </c>
      <c r="G43" s="6" t="s">
        <v>259</v>
      </c>
      <c r="H43" s="6" t="s">
        <v>339</v>
      </c>
      <c r="I43" s="6" t="s">
        <v>43</v>
      </c>
      <c r="J43" s="6" t="s">
        <v>61</v>
      </c>
      <c r="K43" s="6" t="s">
        <v>62</v>
      </c>
      <c r="L43" s="6" t="s">
        <v>139</v>
      </c>
      <c r="M43" s="6" t="s">
        <v>340</v>
      </c>
      <c r="N43" s="6" t="s">
        <v>65</v>
      </c>
      <c r="O43" s="7" t="n">
        <v>46538</v>
      </c>
      <c r="P43" s="6" t="s">
        <v>66</v>
      </c>
      <c r="Q43" s="6" t="s">
        <v>341</v>
      </c>
    </row>
    <row r="44" customFormat="false" ht="23.85" hidden="false" customHeight="false" outlineLevel="0" collapsed="false">
      <c r="A44" s="6" t="s">
        <v>342</v>
      </c>
      <c r="B44" s="6" t="s">
        <v>284</v>
      </c>
      <c r="C44" s="6" t="s">
        <v>343</v>
      </c>
      <c r="D44" s="6" t="s">
        <v>344</v>
      </c>
      <c r="E44" s="6" t="s">
        <v>345</v>
      </c>
      <c r="F44" s="6" t="s">
        <v>223</v>
      </c>
      <c r="G44" s="6" t="s">
        <v>209</v>
      </c>
      <c r="H44" s="6" t="s">
        <v>210</v>
      </c>
      <c r="I44" s="6" t="s">
        <v>28</v>
      </c>
      <c r="J44" s="6" t="s">
        <v>29</v>
      </c>
      <c r="K44" s="6" t="s">
        <v>30</v>
      </c>
      <c r="L44" s="6" t="s">
        <v>139</v>
      </c>
      <c r="M44" s="6" t="s">
        <v>184</v>
      </c>
      <c r="N44" s="6" t="s">
        <v>33</v>
      </c>
      <c r="O44" s="7" t="n">
        <v>46661</v>
      </c>
      <c r="P44" s="6" t="s">
        <v>34</v>
      </c>
      <c r="Q44" s="6" t="s">
        <v>211</v>
      </c>
    </row>
    <row r="45" customFormat="false" ht="23.85" hidden="false" customHeight="false" outlineLevel="0" collapsed="false">
      <c r="A45" s="6" t="s">
        <v>346</v>
      </c>
      <c r="B45" s="6" t="s">
        <v>284</v>
      </c>
      <c r="C45" s="6" t="s">
        <v>347</v>
      </c>
      <c r="D45" s="6" t="s">
        <v>348</v>
      </c>
      <c r="E45" s="6" t="s">
        <v>349</v>
      </c>
      <c r="F45" s="6" t="s">
        <v>350</v>
      </c>
      <c r="G45" s="6" t="s">
        <v>351</v>
      </c>
      <c r="H45" s="6" t="s">
        <v>352</v>
      </c>
      <c r="I45" s="6" t="s">
        <v>28</v>
      </c>
      <c r="J45" s="6" t="s">
        <v>29</v>
      </c>
      <c r="K45" s="6" t="s">
        <v>30</v>
      </c>
      <c r="L45" s="6" t="s">
        <v>243</v>
      </c>
      <c r="M45" s="6" t="s">
        <v>184</v>
      </c>
      <c r="N45" s="6" t="s">
        <v>33</v>
      </c>
      <c r="O45" s="7" t="n">
        <v>46661</v>
      </c>
      <c r="P45" s="6" t="s">
        <v>34</v>
      </c>
      <c r="Q45" s="6" t="s">
        <v>353</v>
      </c>
    </row>
    <row r="46" customFormat="false" ht="35.05" hidden="false" customHeight="false" outlineLevel="0" collapsed="false">
      <c r="A46" s="6" t="s">
        <v>354</v>
      </c>
      <c r="B46" s="6" t="s">
        <v>284</v>
      </c>
      <c r="C46" s="6" t="s">
        <v>314</v>
      </c>
      <c r="D46" s="6" t="s">
        <v>144</v>
      </c>
      <c r="E46" s="6" t="s">
        <v>355</v>
      </c>
      <c r="F46" s="6" t="s">
        <v>356</v>
      </c>
      <c r="G46" s="6" t="s">
        <v>357</v>
      </c>
      <c r="H46" s="6" t="s">
        <v>358</v>
      </c>
      <c r="I46" s="6" t="s">
        <v>28</v>
      </c>
      <c r="J46" s="6" t="s">
        <v>29</v>
      </c>
      <c r="K46" s="6" t="s">
        <v>30</v>
      </c>
      <c r="L46" s="6" t="s">
        <v>93</v>
      </c>
      <c r="M46" s="6" t="s">
        <v>184</v>
      </c>
      <c r="N46" s="6" t="s">
        <v>33</v>
      </c>
      <c r="O46" s="7" t="n">
        <v>46661</v>
      </c>
      <c r="P46" s="6" t="s">
        <v>34</v>
      </c>
      <c r="Q46" s="6" t="s">
        <v>359</v>
      </c>
    </row>
    <row r="47" customFormat="false" ht="35.05" hidden="false" customHeight="false" outlineLevel="0" collapsed="false">
      <c r="A47" s="6" t="s">
        <v>360</v>
      </c>
      <c r="B47" s="6" t="s">
        <v>284</v>
      </c>
      <c r="C47" s="6" t="s">
        <v>361</v>
      </c>
      <c r="D47" s="6" t="s">
        <v>362</v>
      </c>
      <c r="E47" s="6" t="s">
        <v>363</v>
      </c>
      <c r="F47" s="6" t="s">
        <v>364</v>
      </c>
      <c r="G47" s="6" t="s">
        <v>365</v>
      </c>
      <c r="H47" s="6" t="s">
        <v>366</v>
      </c>
      <c r="I47" s="6" t="s">
        <v>43</v>
      </c>
      <c r="J47" s="6" t="s">
        <v>61</v>
      </c>
      <c r="K47" s="6" t="s">
        <v>62</v>
      </c>
      <c r="L47" s="6" t="s">
        <v>367</v>
      </c>
      <c r="M47" s="6" t="s">
        <v>368</v>
      </c>
      <c r="N47" s="6" t="s">
        <v>65</v>
      </c>
      <c r="O47" s="7" t="n">
        <v>46507</v>
      </c>
      <c r="P47" s="6" t="s">
        <v>66</v>
      </c>
      <c r="Q47" s="6" t="s">
        <v>369</v>
      </c>
    </row>
  </sheetData>
  <autoFilter ref="A4:Q47"/>
  <conditionalFormatting sqref="J5:J47">
    <cfRule type="cellIs" priority="2" operator="equal" aboveAverage="0" equalAverage="0" bottom="0" percent="0" rank="0" text="" dxfId="9">
      <formula>"Compliant"</formula>
    </cfRule>
    <cfRule type="cellIs" priority="3" operator="equal" aboveAverage="0" equalAverage="0" bottom="0" percent="0" rank="0" text="" dxfId="10">
      <formula>"Partially Compliant"</formula>
    </cfRule>
    <cfRule type="cellIs" priority="4" operator="equal" aboveAverage="0" equalAverage="0" bottom="0" percent="0" rank="0" text="" dxfId="11">
      <formula>"Non-Compliant"</formula>
    </cfRule>
  </conditionalFormatting>
  <conditionalFormatting sqref="K5:K47">
    <cfRule type="cellIs" priority="5" operator="equal" aboveAverage="0" equalAverage="0" bottom="0" percent="0" rank="0" text="" dxfId="9">
      <formula>"Low"</formula>
    </cfRule>
    <cfRule type="cellIs" priority="6" operator="equal" aboveAverage="0" equalAverage="0" bottom="0" percent="0" rank="0" text="" dxfId="10">
      <formula>"Moderate"</formula>
    </cfRule>
    <cfRule type="cellIs" priority="7" operator="equal" aboveAverage="0" equalAverage="0" bottom="0" percent="0" rank="0" text="" dxfId="12">
      <formula>"High"</formula>
    </cfRule>
    <cfRule type="cellIs" priority="8" operator="equal" aboveAverage="0" equalAverage="0" bottom="0" percent="0" rank="0" text="" dxfId="11">
      <formula>"Critical"</formula>
    </cfRule>
  </conditionalFormatting>
  <conditionalFormatting sqref="I5:I47">
    <cfRule type="cellIs" priority="9" operator="equal" aboveAverage="0" equalAverage="0" bottom="0" percent="0" rank="0" text="" dxfId="9">
      <formula>"Strong"</formula>
    </cfRule>
    <cfRule type="cellIs" priority="10" operator="equal" aboveAverage="0" equalAverage="0" bottom="0" percent="0" rank="0" text="" dxfId="13">
      <formula>"Adequate"</formula>
    </cfRule>
    <cfRule type="cellIs" priority="11" operator="equal" aboveAverage="0" equalAverage="0" bottom="0" percent="0" rank="0" text="" dxfId="10">
      <formula>"Limited"</formula>
    </cfRule>
    <cfRule type="cellIs" priority="12" operator="equal" aboveAverage="0" equalAverage="0" bottom="0" percent="0" rank="0" text="" dxfId="11">
      <formula>"Missing"</formula>
    </cfRule>
  </conditionalFormatting>
  <conditionalFormatting sqref="P5:P47">
    <cfRule type="cellIs" priority="13" operator="equal" aboveAverage="0" equalAverage="0" bottom="0" percent="0" rank="0" text="" dxfId="9">
      <formula>"Validated"</formula>
    </cfRule>
    <cfRule type="cellIs" priority="14" operator="equal" aboveAverage="0" equalAverage="0" bottom="0" percent="0" rank="0" text="" dxfId="10">
      <formula>"In Progress"</formula>
    </cfRule>
    <cfRule type="cellIs" priority="15" operator="equal" aboveAverage="0" equalAverage="0" bottom="0" percent="0" rank="0" text="" dxfId="12">
      <formula>"Not Started"</formula>
    </cfRule>
  </conditionalFormatting>
  <dataValidations count="5">
    <dataValidation allowBlank="true" errorStyle="stop" operator="between" showDropDown="false" showErrorMessage="false" showInputMessage="false" sqref="I5:I47" type="list">
      <formula1>"Strong,Adequate,Limited,Missing"</formula1>
      <formula2>0</formula2>
    </dataValidation>
    <dataValidation allowBlank="true" errorStyle="stop" operator="between" showDropDown="false" showErrorMessage="false" showInputMessage="false" sqref="J5:J47" type="list">
      <formula1>"Compliant,Partially Compliant,Non-Compliant,Not Applicable,Under Review"</formula1>
      <formula2>0</formula2>
    </dataValidation>
    <dataValidation allowBlank="true" errorStyle="stop" operator="between" showDropDown="false" showErrorMessage="false" showInputMessage="false" sqref="K5:K47" type="list">
      <formula1>"Critical,High,Moderate,Low"</formula1>
      <formula2>0</formula2>
    </dataValidation>
    <dataValidation allowBlank="true" errorStyle="stop" operator="between" showDropDown="false" showErrorMessage="false" showInputMessage="false" sqref="N5:N47" type="list">
      <formula1>"Yes,No"</formula1>
      <formula2>0</formula2>
    </dataValidation>
    <dataValidation allowBlank="true" errorStyle="stop" operator="between" showDropDown="false" showErrorMessage="false" showInputMessage="false" sqref="P5:P47" type="list">
      <formula1>"Validated,In Progress,Not Started"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40"/>
  </cols>
  <sheetData>
    <row r="1" customFormat="false" ht="17.35" hidden="false" customHeight="false" outlineLevel="0" collapsed="false">
      <c r="A1" s="1" t="s">
        <v>370</v>
      </c>
    </row>
    <row r="2" customFormat="false" ht="15" hidden="false" customHeight="false" outlineLevel="0" collapsed="false">
      <c r="A2" s="2" t="s">
        <v>371</v>
      </c>
    </row>
    <row r="4" customFormat="false" ht="15" hidden="false" customHeight="false" outlineLevel="0" collapsed="false">
      <c r="A4" s="3" t="s">
        <v>372</v>
      </c>
      <c r="B4" s="3" t="s">
        <v>373</v>
      </c>
    </row>
    <row r="5" customFormat="false" ht="15" hidden="false" customHeight="false" outlineLevel="0" collapsed="false">
      <c r="A5" s="8" t="s">
        <v>374</v>
      </c>
      <c r="B5" s="9" t="n">
        <f aca="false">COUNTA('Compliance Assessment'!$B$5:$B$47)</f>
        <v>40</v>
      </c>
    </row>
    <row r="6" customFormat="false" ht="15" hidden="false" customHeight="false" outlineLevel="0" collapsed="false">
      <c r="A6" s="6" t="s">
        <v>29</v>
      </c>
      <c r="B6" s="10" t="n">
        <f aca="false">COUNTIF('Compliance Assessment'!$J$5:$J$47,"Compliant")</f>
        <v>23</v>
      </c>
    </row>
    <row r="7" customFormat="false" ht="15" hidden="false" customHeight="false" outlineLevel="0" collapsed="false">
      <c r="A7" s="6" t="s">
        <v>61</v>
      </c>
      <c r="B7" s="10" t="n">
        <f aca="false">COUNTIF('Compliance Assessment'!$J$5:$J$47,"Partially Compliant")</f>
        <v>17</v>
      </c>
    </row>
    <row r="8" customFormat="false" ht="15" hidden="false" customHeight="false" outlineLevel="0" collapsed="false">
      <c r="A8" s="6" t="s">
        <v>375</v>
      </c>
      <c r="B8" s="10" t="n">
        <f aca="false">COUNTIF('Compliance Assessment'!$J$5:$J$47,"Non-Compliant")</f>
        <v>0</v>
      </c>
    </row>
    <row r="9" customFormat="false" ht="15" hidden="false" customHeight="false" outlineLevel="0" collapsed="false">
      <c r="A9" s="6" t="s">
        <v>376</v>
      </c>
      <c r="B9" s="10" t="n">
        <f aca="false">COUNTIF('Compliance Assessment'!$J$5:$J$47,"Not Applicable")</f>
        <v>0</v>
      </c>
    </row>
    <row r="10" customFormat="false" ht="15" hidden="false" customHeight="false" outlineLevel="0" collapsed="false">
      <c r="A10" s="6" t="s">
        <v>377</v>
      </c>
      <c r="B10" s="10" t="n">
        <f aca="false">COUNTIF('Compliance Assessment'!$J$5:$J$47,"Under Review")</f>
        <v>0</v>
      </c>
    </row>
    <row r="11" customFormat="false" ht="15" hidden="false" customHeight="false" outlineLevel="0" collapsed="false">
      <c r="A11" s="6" t="s">
        <v>378</v>
      </c>
      <c r="B11" s="10" t="n">
        <f aca="false">COUNTIF('Compliance Assessment'!$I$5:$I$47,"Strong")</f>
        <v>18</v>
      </c>
    </row>
    <row r="12" customFormat="false" ht="15" hidden="false" customHeight="false" outlineLevel="0" collapsed="false">
      <c r="A12" s="6" t="s">
        <v>379</v>
      </c>
      <c r="B12" s="10" t="n">
        <f aca="false">COUNTIF('Compliance Assessment'!$I$5:$I$47,"Adequate")</f>
        <v>21</v>
      </c>
    </row>
    <row r="13" customFormat="false" ht="15" hidden="false" customHeight="false" outlineLevel="0" collapsed="false">
      <c r="A13" s="6" t="s">
        <v>380</v>
      </c>
      <c r="B13" s="10" t="n">
        <f aca="false">COUNTIF('Compliance Assessment'!$I$5:$I$47,"Limited")</f>
        <v>1</v>
      </c>
    </row>
    <row r="14" customFormat="false" ht="15" hidden="false" customHeight="false" outlineLevel="0" collapsed="false">
      <c r="A14" s="6" t="s">
        <v>381</v>
      </c>
      <c r="B14" s="10" t="n">
        <f aca="false">COUNTIF('Compliance Assessment'!$I$5:$I$47,"Missing")</f>
        <v>0</v>
      </c>
    </row>
    <row r="15" customFormat="false" ht="15" hidden="false" customHeight="false" outlineLevel="0" collapsed="false">
      <c r="A15" s="6" t="s">
        <v>382</v>
      </c>
      <c r="B15" s="10" t="n">
        <f aca="false">COUNTIF('Compliance Assessment'!$K$5:$K$47,"Critical")</f>
        <v>0</v>
      </c>
    </row>
    <row r="16" customFormat="false" ht="15" hidden="false" customHeight="false" outlineLevel="0" collapsed="false">
      <c r="A16" s="6" t="s">
        <v>383</v>
      </c>
      <c r="B16" s="10" t="n">
        <f aca="false">COUNTIF('Compliance Assessment'!$K$5:$K$47,"High")</f>
        <v>0</v>
      </c>
    </row>
    <row r="17" customFormat="false" ht="15" hidden="false" customHeight="false" outlineLevel="0" collapsed="false">
      <c r="A17" s="6" t="s">
        <v>384</v>
      </c>
      <c r="B17" s="10" t="n">
        <f aca="false">COUNTIF('Compliance Assessment'!$K$5:$K$47,"Moderate")</f>
        <v>17</v>
      </c>
    </row>
    <row r="18" customFormat="false" ht="15" hidden="false" customHeight="false" outlineLevel="0" collapsed="false">
      <c r="A18" s="6" t="s">
        <v>385</v>
      </c>
      <c r="B18" s="10" t="n">
        <f aca="false">COUNTIF('Compliance Assessment'!$K$5:$K$47,"Low")</f>
        <v>23</v>
      </c>
    </row>
    <row r="19" customFormat="false" ht="15" hidden="false" customHeight="false" outlineLevel="0" collapsed="false">
      <c r="A19" s="6" t="s">
        <v>15</v>
      </c>
      <c r="B19" s="10" t="n">
        <f aca="false">COUNTIF('Compliance Assessment'!$N$5:$N$47,"Yes")</f>
        <v>17</v>
      </c>
    </row>
    <row r="20" customFormat="false" ht="15" hidden="false" customHeight="false" outlineLevel="0" collapsed="false">
      <c r="A20" s="6" t="s">
        <v>386</v>
      </c>
      <c r="B20" s="10" t="n">
        <f aca="false">COUNTIF('Compliance Assessment'!$N$5:$N$47,"No")</f>
        <v>23</v>
      </c>
    </row>
    <row r="21" customFormat="false" ht="15" hidden="false" customHeight="false" outlineLevel="0" collapsed="false">
      <c r="A21" s="6" t="s">
        <v>34</v>
      </c>
      <c r="B21" s="10" t="n">
        <f aca="false">COUNTIF('Compliance Assessment'!$P$5:$P$47,"Validated")</f>
        <v>23</v>
      </c>
    </row>
    <row r="22" customFormat="false" ht="15" hidden="false" customHeight="false" outlineLevel="0" collapsed="false">
      <c r="A22" s="6" t="s">
        <v>66</v>
      </c>
      <c r="B22" s="10" t="n">
        <f aca="false">COUNTIF('Compliance Assessment'!$P$5:$P$47,"In Progress")</f>
        <v>14</v>
      </c>
    </row>
    <row r="23" customFormat="false" ht="15" hidden="false" customHeight="false" outlineLevel="0" collapsed="false">
      <c r="A23" s="6" t="s">
        <v>176</v>
      </c>
      <c r="B23" s="10" t="n">
        <f aca="false">COUNTIF('Compliance Assessment'!$P$5:$P$47,"Not Started")</f>
        <v>3</v>
      </c>
    </row>
    <row r="25" customFormat="false" ht="15" hidden="false" customHeight="false" outlineLevel="0" collapsed="false">
      <c r="A25" s="11" t="s">
        <v>387</v>
      </c>
    </row>
    <row r="26" customFormat="false" ht="15" hidden="false" customHeight="false" outlineLevel="0" collapsed="false">
      <c r="A26" s="3" t="s">
        <v>372</v>
      </c>
      <c r="B26" s="3" t="s">
        <v>373</v>
      </c>
    </row>
    <row r="27" customFormat="false" ht="15" hidden="false" customHeight="false" outlineLevel="0" collapsed="false">
      <c r="A27" s="6" t="s">
        <v>388</v>
      </c>
      <c r="B27" s="12" t="n">
        <f aca="false">IF($B$5=0,0,B6/$B$5)</f>
        <v>0.575</v>
      </c>
    </row>
    <row r="28" customFormat="false" ht="15" hidden="false" customHeight="false" outlineLevel="0" collapsed="false">
      <c r="A28" s="6" t="s">
        <v>389</v>
      </c>
      <c r="B28" s="12" t="n">
        <f aca="false">IF($B$5=0,0,B7/$B$5)</f>
        <v>0.425</v>
      </c>
    </row>
    <row r="29" customFormat="false" ht="15" hidden="false" customHeight="false" outlineLevel="0" collapsed="false">
      <c r="A29" s="6" t="s">
        <v>390</v>
      </c>
      <c r="B29" s="12" t="n">
        <f aca="false">IF($B$5=0,0,B8/$B$5)</f>
        <v>0</v>
      </c>
    </row>
    <row r="30" customFormat="false" ht="15" hidden="false" customHeight="false" outlineLevel="0" collapsed="false">
      <c r="A30" s="6" t="s">
        <v>391</v>
      </c>
      <c r="B30" s="12" t="n">
        <f aca="false">IF($B$5=0,0,($B$5-B14)/$B$5)</f>
        <v>1</v>
      </c>
    </row>
    <row r="31" customFormat="false" ht="15" hidden="false" customHeight="false" outlineLevel="0" collapsed="false">
      <c r="A31" s="6" t="s">
        <v>392</v>
      </c>
      <c r="B31" s="12" t="n">
        <f aca="false">IF($B$5=0,0,B21/$B$5)</f>
        <v>0.575</v>
      </c>
    </row>
    <row r="33" customFormat="false" ht="15" hidden="false" customHeight="false" outlineLevel="0" collapsed="false">
      <c r="A33" s="11" t="s">
        <v>393</v>
      </c>
    </row>
    <row r="34" customFormat="false" ht="150" hidden="false" customHeight="true" outlineLevel="0" collapsed="false">
      <c r="A34" s="13" t="s">
        <v>394</v>
      </c>
      <c r="B34" s="13"/>
    </row>
  </sheetData>
  <mergeCells count="1">
    <mergeCell ref="A34:B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55"/>
    <col collapsed="false" customWidth="true" hidden="false" outlineLevel="0" max="4" min="4" style="0" width="11"/>
    <col collapsed="false" customWidth="true" hidden="false" outlineLevel="0" max="5" min="5" style="0" width="22"/>
    <col collapsed="false" customWidth="true" hidden="false" outlineLevel="0" max="6" min="6" style="0" width="48"/>
    <col collapsed="false" customWidth="true" hidden="false" outlineLevel="0" max="8" min="7" style="0" width="13"/>
  </cols>
  <sheetData>
    <row r="1" customFormat="false" ht="15" hidden="false" customHeight="false" outlineLevel="0" collapsed="false">
      <c r="A1" s="3" t="s">
        <v>395</v>
      </c>
      <c r="B1" s="3" t="s">
        <v>396</v>
      </c>
      <c r="C1" s="3" t="s">
        <v>397</v>
      </c>
      <c r="D1" s="3" t="s">
        <v>398</v>
      </c>
      <c r="E1" s="3" t="s">
        <v>399</v>
      </c>
      <c r="F1" s="3" t="s">
        <v>400</v>
      </c>
      <c r="G1" s="3" t="s">
        <v>16</v>
      </c>
      <c r="H1" s="3" t="s">
        <v>401</v>
      </c>
    </row>
    <row r="2" customFormat="false" ht="15" hidden="false" customHeight="false" outlineLevel="0" collapsed="false">
      <c r="A2" s="6" t="s">
        <v>402</v>
      </c>
      <c r="B2" s="6" t="s">
        <v>54</v>
      </c>
      <c r="C2" s="6" t="s">
        <v>403</v>
      </c>
      <c r="D2" s="6" t="s">
        <v>62</v>
      </c>
      <c r="E2" s="6" t="s">
        <v>63</v>
      </c>
      <c r="F2" s="6" t="s">
        <v>404</v>
      </c>
      <c r="G2" s="14" t="n">
        <v>46418</v>
      </c>
      <c r="H2" s="6" t="s">
        <v>66</v>
      </c>
    </row>
    <row r="3" customFormat="false" ht="15" hidden="false" customHeight="false" outlineLevel="0" collapsed="false">
      <c r="A3" s="6" t="s">
        <v>405</v>
      </c>
      <c r="B3" s="6" t="s">
        <v>77</v>
      </c>
      <c r="C3" s="6" t="s">
        <v>406</v>
      </c>
      <c r="D3" s="6" t="s">
        <v>62</v>
      </c>
      <c r="E3" s="6" t="s">
        <v>31</v>
      </c>
      <c r="F3" s="6" t="s">
        <v>85</v>
      </c>
      <c r="G3" s="14" t="n">
        <v>46446</v>
      </c>
      <c r="H3" s="6" t="s">
        <v>66</v>
      </c>
    </row>
    <row r="4" customFormat="false" ht="15" hidden="false" customHeight="false" outlineLevel="0" collapsed="false">
      <c r="A4" s="6" t="s">
        <v>407</v>
      </c>
      <c r="B4" s="6" t="s">
        <v>96</v>
      </c>
      <c r="C4" s="6" t="s">
        <v>408</v>
      </c>
      <c r="D4" s="6" t="s">
        <v>62</v>
      </c>
      <c r="E4" s="6" t="s">
        <v>31</v>
      </c>
      <c r="F4" s="6" t="s">
        <v>409</v>
      </c>
      <c r="G4" s="14" t="n">
        <v>46477</v>
      </c>
      <c r="H4" s="6" t="s">
        <v>66</v>
      </c>
    </row>
    <row r="5" customFormat="false" ht="15" hidden="false" customHeight="false" outlineLevel="0" collapsed="false">
      <c r="A5" s="6" t="s">
        <v>410</v>
      </c>
      <c r="B5" s="6" t="s">
        <v>132</v>
      </c>
      <c r="C5" s="6" t="s">
        <v>411</v>
      </c>
      <c r="D5" s="6" t="s">
        <v>62</v>
      </c>
      <c r="E5" s="6" t="s">
        <v>139</v>
      </c>
      <c r="F5" s="6" t="s">
        <v>412</v>
      </c>
      <c r="G5" s="14" t="n">
        <v>46477</v>
      </c>
      <c r="H5" s="6" t="s">
        <v>66</v>
      </c>
    </row>
    <row r="6" customFormat="false" ht="15" hidden="false" customHeight="false" outlineLevel="0" collapsed="false">
      <c r="A6" s="6" t="s">
        <v>413</v>
      </c>
      <c r="B6" s="6" t="s">
        <v>158</v>
      </c>
      <c r="C6" s="6" t="s">
        <v>414</v>
      </c>
      <c r="D6" s="6" t="s">
        <v>62</v>
      </c>
      <c r="E6" s="6" t="s">
        <v>31</v>
      </c>
      <c r="F6" s="6" t="s">
        <v>415</v>
      </c>
      <c r="G6" s="14" t="n">
        <v>46507</v>
      </c>
      <c r="H6" s="6" t="s">
        <v>66</v>
      </c>
    </row>
    <row r="7" customFormat="false" ht="23.85" hidden="false" customHeight="false" outlineLevel="0" collapsed="false">
      <c r="A7" s="6" t="s">
        <v>416</v>
      </c>
      <c r="B7" s="6" t="s">
        <v>167</v>
      </c>
      <c r="C7" s="6" t="s">
        <v>417</v>
      </c>
      <c r="D7" s="6" t="s">
        <v>62</v>
      </c>
      <c r="E7" s="6" t="s">
        <v>169</v>
      </c>
      <c r="F7" s="6" t="s">
        <v>177</v>
      </c>
      <c r="G7" s="14" t="n">
        <v>46538</v>
      </c>
      <c r="H7" s="6" t="s">
        <v>176</v>
      </c>
    </row>
    <row r="8" customFormat="false" ht="15" hidden="false" customHeight="false" outlineLevel="0" collapsed="false">
      <c r="A8" s="6" t="s">
        <v>418</v>
      </c>
      <c r="B8" s="6" t="s">
        <v>186</v>
      </c>
      <c r="C8" s="6" t="s">
        <v>419</v>
      </c>
      <c r="D8" s="6" t="s">
        <v>62</v>
      </c>
      <c r="E8" s="6" t="s">
        <v>193</v>
      </c>
      <c r="F8" s="6" t="s">
        <v>420</v>
      </c>
      <c r="G8" s="14" t="n">
        <v>46446</v>
      </c>
      <c r="H8" s="6" t="s">
        <v>66</v>
      </c>
    </row>
    <row r="9" customFormat="false" ht="15" hidden="false" customHeight="false" outlineLevel="0" collapsed="false">
      <c r="A9" s="6" t="s">
        <v>421</v>
      </c>
      <c r="B9" s="6" t="s">
        <v>196</v>
      </c>
      <c r="C9" s="6" t="s">
        <v>422</v>
      </c>
      <c r="D9" s="6" t="s">
        <v>62</v>
      </c>
      <c r="E9" s="6" t="s">
        <v>193</v>
      </c>
      <c r="F9" s="6" t="s">
        <v>423</v>
      </c>
      <c r="G9" s="14" t="n">
        <v>46446</v>
      </c>
      <c r="H9" s="6" t="s">
        <v>66</v>
      </c>
    </row>
    <row r="10" customFormat="false" ht="15" hidden="false" customHeight="false" outlineLevel="0" collapsed="false">
      <c r="A10" s="6" t="s">
        <v>424</v>
      </c>
      <c r="B10" s="6" t="s">
        <v>226</v>
      </c>
      <c r="C10" s="6" t="s">
        <v>425</v>
      </c>
      <c r="D10" s="6" t="s">
        <v>62</v>
      </c>
      <c r="E10" s="6" t="s">
        <v>139</v>
      </c>
      <c r="F10" s="6" t="s">
        <v>426</v>
      </c>
      <c r="G10" s="14" t="n">
        <v>46507</v>
      </c>
      <c r="H10" s="6" t="s">
        <v>176</v>
      </c>
    </row>
    <row r="11" customFormat="false" ht="23.85" hidden="false" customHeight="false" outlineLevel="0" collapsed="false">
      <c r="A11" s="6" t="s">
        <v>427</v>
      </c>
      <c r="B11" s="6" t="s">
        <v>254</v>
      </c>
      <c r="C11" s="6" t="s">
        <v>428</v>
      </c>
      <c r="D11" s="6" t="s">
        <v>62</v>
      </c>
      <c r="E11" s="6" t="s">
        <v>139</v>
      </c>
      <c r="F11" s="6" t="s">
        <v>262</v>
      </c>
      <c r="G11" s="14" t="n">
        <v>46538</v>
      </c>
      <c r="H11" s="6" t="s">
        <v>66</v>
      </c>
    </row>
    <row r="12" customFormat="false" ht="15" hidden="false" customHeight="false" outlineLevel="0" collapsed="false">
      <c r="A12" s="6" t="s">
        <v>429</v>
      </c>
      <c r="B12" s="6" t="s">
        <v>263</v>
      </c>
      <c r="C12" s="6" t="s">
        <v>430</v>
      </c>
      <c r="D12" s="6" t="s">
        <v>62</v>
      </c>
      <c r="E12" s="6" t="s">
        <v>270</v>
      </c>
      <c r="F12" s="6" t="s">
        <v>431</v>
      </c>
      <c r="G12" s="14" t="n">
        <v>46477</v>
      </c>
      <c r="H12" s="6" t="s">
        <v>66</v>
      </c>
    </row>
    <row r="13" customFormat="false" ht="15" hidden="false" customHeight="false" outlineLevel="0" collapsed="false">
      <c r="A13" s="6" t="s">
        <v>432</v>
      </c>
      <c r="B13" s="6" t="s">
        <v>273</v>
      </c>
      <c r="C13" s="6" t="s">
        <v>433</v>
      </c>
      <c r="D13" s="6" t="s">
        <v>62</v>
      </c>
      <c r="E13" s="6" t="s">
        <v>93</v>
      </c>
      <c r="F13" s="6" t="s">
        <v>434</v>
      </c>
      <c r="G13" s="14" t="n">
        <v>46538</v>
      </c>
      <c r="H13" s="6" t="s">
        <v>176</v>
      </c>
    </row>
    <row r="14" customFormat="false" ht="15" hidden="false" customHeight="false" outlineLevel="0" collapsed="false">
      <c r="A14" s="6" t="s">
        <v>435</v>
      </c>
      <c r="B14" s="6" t="s">
        <v>292</v>
      </c>
      <c r="C14" s="6" t="s">
        <v>436</v>
      </c>
      <c r="D14" s="6" t="s">
        <v>62</v>
      </c>
      <c r="E14" s="6" t="s">
        <v>31</v>
      </c>
      <c r="F14" s="6" t="s">
        <v>298</v>
      </c>
      <c r="G14" s="14" t="n">
        <v>46446</v>
      </c>
      <c r="H14" s="6" t="s">
        <v>66</v>
      </c>
    </row>
    <row r="15" customFormat="false" ht="15" hidden="false" customHeight="false" outlineLevel="0" collapsed="false">
      <c r="A15" s="6" t="s">
        <v>437</v>
      </c>
      <c r="B15" s="6" t="s">
        <v>304</v>
      </c>
      <c r="C15" s="6" t="s">
        <v>438</v>
      </c>
      <c r="D15" s="6" t="s">
        <v>62</v>
      </c>
      <c r="E15" s="6" t="s">
        <v>193</v>
      </c>
      <c r="F15" s="6" t="s">
        <v>312</v>
      </c>
      <c r="G15" s="14" t="n">
        <v>46477</v>
      </c>
      <c r="H15" s="6" t="s">
        <v>66</v>
      </c>
    </row>
    <row r="16" customFormat="false" ht="15" hidden="false" customHeight="false" outlineLevel="0" collapsed="false">
      <c r="A16" s="6" t="s">
        <v>439</v>
      </c>
      <c r="B16" s="6" t="s">
        <v>319</v>
      </c>
      <c r="C16" s="6" t="s">
        <v>440</v>
      </c>
      <c r="D16" s="6" t="s">
        <v>62</v>
      </c>
      <c r="E16" s="6" t="s">
        <v>193</v>
      </c>
      <c r="F16" s="6" t="s">
        <v>326</v>
      </c>
      <c r="G16" s="14" t="n">
        <v>46446</v>
      </c>
      <c r="H16" s="6" t="s">
        <v>66</v>
      </c>
    </row>
    <row r="17" customFormat="false" ht="15" hidden="false" customHeight="false" outlineLevel="0" collapsed="false">
      <c r="A17" s="6" t="s">
        <v>441</v>
      </c>
      <c r="B17" s="6" t="s">
        <v>334</v>
      </c>
      <c r="C17" s="6" t="s">
        <v>442</v>
      </c>
      <c r="D17" s="6" t="s">
        <v>62</v>
      </c>
      <c r="E17" s="6" t="s">
        <v>139</v>
      </c>
      <c r="F17" s="6" t="s">
        <v>443</v>
      </c>
      <c r="G17" s="14" t="n">
        <v>46538</v>
      </c>
      <c r="H17" s="6" t="s">
        <v>66</v>
      </c>
    </row>
    <row r="18" customFormat="false" ht="15" hidden="false" customHeight="false" outlineLevel="0" collapsed="false">
      <c r="A18" s="6" t="s">
        <v>444</v>
      </c>
      <c r="B18" s="6" t="s">
        <v>360</v>
      </c>
      <c r="C18" s="6" t="s">
        <v>445</v>
      </c>
      <c r="D18" s="6" t="s">
        <v>62</v>
      </c>
      <c r="E18" s="6" t="s">
        <v>367</v>
      </c>
      <c r="F18" s="6" t="s">
        <v>446</v>
      </c>
      <c r="G18" s="14" t="n">
        <v>46507</v>
      </c>
      <c r="H18" s="6" t="s">
        <v>66</v>
      </c>
    </row>
    <row r="19" customFormat="false" ht="15" hidden="false" customHeight="false" outlineLevel="0" collapsed="false">
      <c r="A19" s="6" t="s">
        <v>447</v>
      </c>
      <c r="B19" s="6" t="s">
        <v>86</v>
      </c>
      <c r="C19" s="6" t="s">
        <v>448</v>
      </c>
      <c r="D19" s="6" t="s">
        <v>30</v>
      </c>
      <c r="E19" s="6" t="s">
        <v>93</v>
      </c>
      <c r="F19" s="6" t="s">
        <v>449</v>
      </c>
      <c r="G19" s="14" t="n">
        <v>46661</v>
      </c>
      <c r="H19" s="6" t="s">
        <v>34</v>
      </c>
    </row>
  </sheetData>
  <autoFilter ref="A1:H19"/>
  <conditionalFormatting sqref="D2:D19">
    <cfRule type="cellIs" priority="2" operator="equal" aboveAverage="0" equalAverage="0" bottom="0" percent="0" rank="0" text="" dxfId="9">
      <formula>"Low"</formula>
    </cfRule>
    <cfRule type="cellIs" priority="3" operator="equal" aboveAverage="0" equalAverage="0" bottom="0" percent="0" rank="0" text="" dxfId="10">
      <formula>"Moderate"</formula>
    </cfRule>
    <cfRule type="cellIs" priority="4" operator="equal" aboveAverage="0" equalAverage="0" bottom="0" percent="0" rank="0" text="" dxfId="12">
      <formula>"High"</formula>
    </cfRule>
    <cfRule type="cellIs" priority="5" operator="equal" aboveAverage="0" equalAverage="0" bottom="0" percent="0" rank="0" text="" dxfId="11">
      <formula>"Critical"</formula>
    </cfRule>
  </conditionalFormatting>
  <conditionalFormatting sqref="H2:H19">
    <cfRule type="cellIs" priority="6" operator="equal" aboveAverage="0" equalAverage="0" bottom="0" percent="0" rank="0" text="" dxfId="9">
      <formula>"Validated"</formula>
    </cfRule>
    <cfRule type="cellIs" priority="7" operator="equal" aboveAverage="0" equalAverage="0" bottom="0" percent="0" rank="0" text="" dxfId="10">
      <formula>"In Progress"</formula>
    </cfRule>
    <cfRule type="cellIs" priority="8" operator="equal" aboveAverage="0" equalAverage="0" bottom="0" percent="0" rank="0" text="" dxfId="12">
      <formula>"Not Started"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34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3" t="s">
        <v>450</v>
      </c>
      <c r="B1" s="3" t="s">
        <v>451</v>
      </c>
      <c r="C1" s="3" t="s">
        <v>452</v>
      </c>
      <c r="D1" s="3" t="s">
        <v>453</v>
      </c>
    </row>
    <row r="2" customFormat="false" ht="15" hidden="false" customHeight="false" outlineLevel="0" collapsed="false">
      <c r="A2" s="6" t="s">
        <v>454</v>
      </c>
      <c r="B2" s="6" t="s">
        <v>285</v>
      </c>
      <c r="C2" s="6" t="s">
        <v>455</v>
      </c>
      <c r="D2" s="6" t="s">
        <v>456</v>
      </c>
    </row>
    <row r="3" customFormat="false" ht="15" hidden="false" customHeight="false" outlineLevel="0" collapsed="false">
      <c r="A3" s="6" t="s">
        <v>56</v>
      </c>
      <c r="B3" s="6" t="s">
        <v>457</v>
      </c>
      <c r="C3" s="6" t="s">
        <v>458</v>
      </c>
      <c r="D3" s="6" t="s">
        <v>459</v>
      </c>
    </row>
    <row r="4" customFormat="false" ht="15" hidden="false" customHeight="false" outlineLevel="0" collapsed="false">
      <c r="A4" s="6" t="s">
        <v>88</v>
      </c>
      <c r="B4" s="6" t="s">
        <v>314</v>
      </c>
      <c r="C4" s="6" t="s">
        <v>460</v>
      </c>
      <c r="D4" s="6" t="s">
        <v>461</v>
      </c>
    </row>
    <row r="5" customFormat="false" ht="15" hidden="false" customHeight="false" outlineLevel="0" collapsed="false">
      <c r="A5" s="6" t="s">
        <v>308</v>
      </c>
      <c r="B5" s="6" t="s">
        <v>305</v>
      </c>
      <c r="C5" s="6" t="s">
        <v>308</v>
      </c>
      <c r="D5" s="6" t="s">
        <v>462</v>
      </c>
    </row>
    <row r="6" customFormat="false" ht="15" hidden="false" customHeight="false" outlineLevel="0" collapsed="false">
      <c r="A6" s="6" t="s">
        <v>188</v>
      </c>
      <c r="B6" s="6" t="s">
        <v>320</v>
      </c>
      <c r="C6" s="6" t="s">
        <v>323</v>
      </c>
      <c r="D6" s="6" t="s">
        <v>463</v>
      </c>
    </row>
    <row r="7" customFormat="false" ht="15" hidden="false" customHeight="false" outlineLevel="0" collapsed="false">
      <c r="A7" s="6" t="s">
        <v>119</v>
      </c>
      <c r="B7" s="6" t="s">
        <v>328</v>
      </c>
      <c r="C7" s="6" t="s">
        <v>119</v>
      </c>
      <c r="D7" s="6" t="s">
        <v>464</v>
      </c>
    </row>
    <row r="8" customFormat="false" ht="15" hidden="false" customHeight="false" outlineLevel="0" collapsed="false">
      <c r="A8" s="6" t="s">
        <v>249</v>
      </c>
      <c r="B8" s="6" t="s">
        <v>465</v>
      </c>
      <c r="C8" s="6" t="s">
        <v>249</v>
      </c>
      <c r="D8" s="6" t="s">
        <v>466</v>
      </c>
    </row>
    <row r="9" customFormat="false" ht="15" hidden="false" customHeight="false" outlineLevel="0" collapsed="false">
      <c r="A9" s="6" t="s">
        <v>338</v>
      </c>
      <c r="B9" s="6" t="s">
        <v>335</v>
      </c>
      <c r="C9" s="6" t="s">
        <v>256</v>
      </c>
      <c r="D9" s="6" t="s">
        <v>467</v>
      </c>
    </row>
    <row r="10" customFormat="false" ht="15" hidden="false" customHeight="false" outlineLevel="0" collapsed="false">
      <c r="A10" s="6" t="s">
        <v>208</v>
      </c>
      <c r="B10" s="6" t="s">
        <v>343</v>
      </c>
      <c r="C10" s="6" t="s">
        <v>206</v>
      </c>
      <c r="D10" s="6" t="s">
        <v>468</v>
      </c>
    </row>
    <row r="11" customFormat="false" ht="15" hidden="false" customHeight="false" outlineLevel="0" collapsed="false">
      <c r="A11" s="6" t="s">
        <v>469</v>
      </c>
      <c r="B11" s="6" t="s">
        <v>470</v>
      </c>
      <c r="C11" s="6" t="s">
        <v>471</v>
      </c>
      <c r="D11" s="6" t="s">
        <v>466</v>
      </c>
    </row>
    <row r="12" customFormat="false" ht="15" hidden="false" customHeight="false" outlineLevel="0" collapsed="false">
      <c r="A12" s="6" t="s">
        <v>238</v>
      </c>
      <c r="B12" s="6" t="s">
        <v>347</v>
      </c>
      <c r="C12" s="6" t="s">
        <v>472</v>
      </c>
      <c r="D12" s="6" t="s">
        <v>473</v>
      </c>
    </row>
    <row r="13" customFormat="false" ht="15" hidden="false" customHeight="false" outlineLevel="0" collapsed="false">
      <c r="A13" s="6" t="s">
        <v>474</v>
      </c>
      <c r="B13" s="6" t="s">
        <v>347</v>
      </c>
      <c r="C13" s="6" t="s">
        <v>475</v>
      </c>
      <c r="D13" s="6" t="s">
        <v>473</v>
      </c>
    </row>
    <row r="14" customFormat="false" ht="15" hidden="false" customHeight="false" outlineLevel="0" collapsed="false">
      <c r="A14" s="6" t="s">
        <v>476</v>
      </c>
      <c r="B14" s="6" t="s">
        <v>477</v>
      </c>
      <c r="C14" s="6" t="s">
        <v>478</v>
      </c>
      <c r="D14" s="6" t="s">
        <v>456</v>
      </c>
    </row>
    <row r="15" customFormat="false" ht="15" hidden="false" customHeight="false" outlineLevel="0" collapsed="false">
      <c r="A15" s="6" t="s">
        <v>479</v>
      </c>
      <c r="B15" s="6" t="s">
        <v>480</v>
      </c>
      <c r="C15" s="6" t="s">
        <v>481</v>
      </c>
      <c r="D15" s="6" t="s">
        <v>459</v>
      </c>
    </row>
    <row r="16" customFormat="false" ht="15" hidden="false" customHeight="false" outlineLevel="0" collapsed="false">
      <c r="A16" s="6" t="s">
        <v>169</v>
      </c>
      <c r="B16" s="6" t="s">
        <v>482</v>
      </c>
      <c r="C16" s="6" t="s">
        <v>171</v>
      </c>
      <c r="D16" s="6" t="s">
        <v>459</v>
      </c>
    </row>
    <row r="17" customFormat="false" ht="15" hidden="false" customHeight="false" outlineLevel="0" collapsed="false">
      <c r="A17" s="6" t="s">
        <v>483</v>
      </c>
      <c r="B17" s="6" t="s">
        <v>482</v>
      </c>
      <c r="C17" s="6" t="s">
        <v>58</v>
      </c>
      <c r="D17" s="6" t="s">
        <v>459</v>
      </c>
    </row>
    <row r="18" customFormat="false" ht="15" hidden="false" customHeight="false" outlineLevel="0" collapsed="false">
      <c r="A18" s="6" t="s">
        <v>98</v>
      </c>
      <c r="B18" s="6" t="s">
        <v>484</v>
      </c>
      <c r="C18" s="6" t="s">
        <v>485</v>
      </c>
      <c r="D18" s="6" t="s">
        <v>459</v>
      </c>
    </row>
    <row r="19" customFormat="false" ht="15" hidden="false" customHeight="false" outlineLevel="0" collapsed="false">
      <c r="A19" s="6" t="s">
        <v>362</v>
      </c>
      <c r="B19" s="6" t="s">
        <v>361</v>
      </c>
      <c r="C19" s="6" t="s">
        <v>486</v>
      </c>
      <c r="D19" s="6" t="s">
        <v>462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8"/>
    <col collapsed="false" customWidth="true" hidden="false" outlineLevel="0" max="3" min="3" style="0" width="42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22"/>
  </cols>
  <sheetData>
    <row r="1" customFormat="false" ht="15" hidden="false" customHeight="false" outlineLevel="0" collapsed="false">
      <c r="A1" s="3" t="s">
        <v>487</v>
      </c>
      <c r="B1" s="3" t="s">
        <v>9</v>
      </c>
      <c r="C1" s="3" t="s">
        <v>488</v>
      </c>
      <c r="D1" s="3" t="s">
        <v>489</v>
      </c>
      <c r="E1" s="3" t="s">
        <v>490</v>
      </c>
      <c r="F1" s="3" t="s">
        <v>399</v>
      </c>
    </row>
    <row r="2" customFormat="false" ht="15" hidden="false" customHeight="false" outlineLevel="0" collapsed="false">
      <c r="A2" s="6" t="s">
        <v>491</v>
      </c>
      <c r="B2" s="6" t="s">
        <v>26</v>
      </c>
      <c r="C2" s="6" t="s">
        <v>492</v>
      </c>
      <c r="D2" s="6" t="s">
        <v>493</v>
      </c>
      <c r="E2" s="6" t="s">
        <v>28</v>
      </c>
      <c r="F2" s="6" t="s">
        <v>31</v>
      </c>
    </row>
    <row r="3" customFormat="false" ht="15" hidden="false" customHeight="false" outlineLevel="0" collapsed="false">
      <c r="A3" s="6" t="s">
        <v>494</v>
      </c>
      <c r="B3" s="6" t="s">
        <v>73</v>
      </c>
      <c r="C3" s="6" t="s">
        <v>495</v>
      </c>
      <c r="D3" s="6" t="s">
        <v>70</v>
      </c>
      <c r="E3" s="6" t="s">
        <v>28</v>
      </c>
      <c r="F3" s="6" t="s">
        <v>31</v>
      </c>
    </row>
    <row r="4" customFormat="false" ht="15" hidden="false" customHeight="false" outlineLevel="0" collapsed="false">
      <c r="A4" s="6" t="s">
        <v>496</v>
      </c>
      <c r="B4" s="6" t="s">
        <v>289</v>
      </c>
      <c r="C4" s="6" t="s">
        <v>497</v>
      </c>
      <c r="D4" s="6" t="s">
        <v>493</v>
      </c>
      <c r="E4" s="6" t="s">
        <v>43</v>
      </c>
      <c r="F4" s="6" t="s">
        <v>31</v>
      </c>
    </row>
    <row r="5" customFormat="false" ht="15" hidden="false" customHeight="false" outlineLevel="0" collapsed="false">
      <c r="A5" s="6" t="s">
        <v>498</v>
      </c>
      <c r="B5" s="6" t="s">
        <v>499</v>
      </c>
      <c r="C5" s="6" t="s">
        <v>500</v>
      </c>
      <c r="D5" s="6" t="s">
        <v>398</v>
      </c>
      <c r="E5" s="6" t="s">
        <v>28</v>
      </c>
      <c r="F5" s="6" t="s">
        <v>93</v>
      </c>
    </row>
    <row r="6" customFormat="false" ht="15" hidden="false" customHeight="false" outlineLevel="0" collapsed="false">
      <c r="A6" s="6" t="s">
        <v>501</v>
      </c>
      <c r="B6" s="6" t="s">
        <v>502</v>
      </c>
      <c r="C6" s="6" t="s">
        <v>503</v>
      </c>
      <c r="D6" s="6" t="s">
        <v>504</v>
      </c>
      <c r="E6" s="6" t="s">
        <v>43</v>
      </c>
      <c r="F6" s="6" t="s">
        <v>31</v>
      </c>
    </row>
    <row r="7" customFormat="false" ht="15" hidden="false" customHeight="false" outlineLevel="0" collapsed="false">
      <c r="A7" s="6" t="s">
        <v>505</v>
      </c>
      <c r="B7" s="6" t="s">
        <v>506</v>
      </c>
      <c r="C7" s="6" t="s">
        <v>507</v>
      </c>
      <c r="D7" s="6" t="s">
        <v>508</v>
      </c>
      <c r="E7" s="6" t="s">
        <v>43</v>
      </c>
      <c r="F7" s="6" t="s">
        <v>112</v>
      </c>
    </row>
    <row r="8" customFormat="false" ht="15" hidden="false" customHeight="false" outlineLevel="0" collapsed="false">
      <c r="A8" s="6" t="s">
        <v>509</v>
      </c>
      <c r="B8" s="6" t="s">
        <v>191</v>
      </c>
      <c r="C8" s="6" t="s">
        <v>510</v>
      </c>
      <c r="D8" s="6" t="s">
        <v>511</v>
      </c>
      <c r="E8" s="6" t="s">
        <v>43</v>
      </c>
      <c r="F8" s="6" t="s">
        <v>193</v>
      </c>
    </row>
    <row r="9" customFormat="false" ht="15" hidden="false" customHeight="false" outlineLevel="0" collapsed="false">
      <c r="A9" s="6" t="s">
        <v>512</v>
      </c>
      <c r="B9" s="6" t="s">
        <v>209</v>
      </c>
      <c r="C9" s="6" t="s">
        <v>513</v>
      </c>
      <c r="D9" s="6" t="s">
        <v>70</v>
      </c>
      <c r="E9" s="6" t="s">
        <v>28</v>
      </c>
      <c r="F9" s="6" t="s">
        <v>139</v>
      </c>
    </row>
    <row r="10" customFormat="false" ht="15" hidden="false" customHeight="false" outlineLevel="0" collapsed="false">
      <c r="A10" s="6" t="s">
        <v>514</v>
      </c>
      <c r="B10" s="6" t="s">
        <v>515</v>
      </c>
      <c r="C10" s="6" t="s">
        <v>516</v>
      </c>
      <c r="D10" s="6" t="s">
        <v>517</v>
      </c>
      <c r="E10" s="6" t="s">
        <v>28</v>
      </c>
      <c r="F10" s="6" t="s">
        <v>139</v>
      </c>
    </row>
    <row r="11" customFormat="false" ht="15" hidden="false" customHeight="false" outlineLevel="0" collapsed="false">
      <c r="A11" s="6" t="s">
        <v>518</v>
      </c>
      <c r="B11" s="6" t="s">
        <v>519</v>
      </c>
      <c r="C11" s="6" t="s">
        <v>226</v>
      </c>
      <c r="D11" s="6" t="s">
        <v>520</v>
      </c>
      <c r="E11" s="6" t="s">
        <v>233</v>
      </c>
      <c r="F11" s="6" t="s">
        <v>139</v>
      </c>
    </row>
    <row r="12" customFormat="false" ht="15" hidden="false" customHeight="false" outlineLevel="0" collapsed="false">
      <c r="A12" s="6" t="s">
        <v>521</v>
      </c>
      <c r="B12" s="6" t="s">
        <v>522</v>
      </c>
      <c r="C12" s="6" t="s">
        <v>523</v>
      </c>
      <c r="D12" s="6" t="s">
        <v>238</v>
      </c>
      <c r="E12" s="6" t="s">
        <v>28</v>
      </c>
      <c r="F12" s="6" t="s">
        <v>238</v>
      </c>
    </row>
    <row r="13" customFormat="false" ht="15" hidden="false" customHeight="false" outlineLevel="0" collapsed="false">
      <c r="A13" s="6" t="s">
        <v>524</v>
      </c>
      <c r="B13" s="6" t="s">
        <v>525</v>
      </c>
      <c r="C13" s="6" t="s">
        <v>523</v>
      </c>
      <c r="D13" s="6" t="s">
        <v>238</v>
      </c>
      <c r="E13" s="6" t="s">
        <v>28</v>
      </c>
      <c r="F13" s="6" t="s">
        <v>526</v>
      </c>
    </row>
    <row r="14" customFormat="false" ht="15" hidden="false" customHeight="false" outlineLevel="0" collapsed="false">
      <c r="A14" s="6" t="s">
        <v>527</v>
      </c>
      <c r="B14" s="6" t="s">
        <v>528</v>
      </c>
      <c r="C14" s="6" t="s">
        <v>523</v>
      </c>
      <c r="D14" s="6" t="s">
        <v>529</v>
      </c>
      <c r="E14" s="6" t="s">
        <v>28</v>
      </c>
      <c r="F14" s="6" t="s">
        <v>530</v>
      </c>
    </row>
    <row r="15" customFormat="false" ht="15" hidden="false" customHeight="false" outlineLevel="0" collapsed="false">
      <c r="A15" s="6" t="s">
        <v>531</v>
      </c>
      <c r="B15" s="6" t="s">
        <v>475</v>
      </c>
      <c r="C15" s="6" t="s">
        <v>523</v>
      </c>
      <c r="D15" s="6" t="s">
        <v>529</v>
      </c>
      <c r="E15" s="6" t="s">
        <v>28</v>
      </c>
      <c r="F15" s="6" t="s">
        <v>530</v>
      </c>
    </row>
    <row r="16" customFormat="false" ht="15" hidden="false" customHeight="false" outlineLevel="0" collapsed="false">
      <c r="A16" s="6" t="s">
        <v>532</v>
      </c>
      <c r="B16" s="6" t="s">
        <v>250</v>
      </c>
      <c r="C16" s="6" t="s">
        <v>245</v>
      </c>
      <c r="D16" s="6" t="s">
        <v>139</v>
      </c>
      <c r="E16" s="6" t="s">
        <v>28</v>
      </c>
      <c r="F16" s="6" t="s">
        <v>139</v>
      </c>
    </row>
    <row r="17" customFormat="false" ht="15" hidden="false" customHeight="false" outlineLevel="0" collapsed="false">
      <c r="A17" s="6" t="s">
        <v>533</v>
      </c>
      <c r="B17" s="6" t="s">
        <v>534</v>
      </c>
      <c r="C17" s="6" t="s">
        <v>535</v>
      </c>
      <c r="D17" s="6" t="s">
        <v>400</v>
      </c>
      <c r="E17" s="6" t="s">
        <v>28</v>
      </c>
      <c r="F17" s="6" t="s">
        <v>139</v>
      </c>
    </row>
    <row r="18" customFormat="false" ht="15" hidden="false" customHeight="false" outlineLevel="0" collapsed="false">
      <c r="A18" s="6" t="s">
        <v>536</v>
      </c>
      <c r="B18" s="6" t="s">
        <v>259</v>
      </c>
      <c r="C18" s="6" t="s">
        <v>537</v>
      </c>
      <c r="D18" s="6" t="s">
        <v>538</v>
      </c>
      <c r="E18" s="6" t="s">
        <v>43</v>
      </c>
      <c r="F18" s="6" t="s">
        <v>139</v>
      </c>
    </row>
    <row r="19" customFormat="false" ht="15" hidden="false" customHeight="false" outlineLevel="0" collapsed="false">
      <c r="A19" s="6" t="s">
        <v>539</v>
      </c>
      <c r="B19" s="6" t="s">
        <v>540</v>
      </c>
      <c r="C19" s="6" t="s">
        <v>263</v>
      </c>
      <c r="D19" s="6" t="s">
        <v>479</v>
      </c>
      <c r="E19" s="6" t="s">
        <v>43</v>
      </c>
      <c r="F19" s="6" t="s">
        <v>541</v>
      </c>
    </row>
    <row r="20" customFormat="false" ht="15" hidden="false" customHeight="false" outlineLevel="0" collapsed="false">
      <c r="A20" s="6" t="s">
        <v>542</v>
      </c>
      <c r="B20" s="6" t="s">
        <v>543</v>
      </c>
      <c r="C20" s="6" t="s">
        <v>544</v>
      </c>
      <c r="D20" s="6" t="s">
        <v>545</v>
      </c>
      <c r="E20" s="6" t="s">
        <v>43</v>
      </c>
      <c r="F20" s="6" t="s">
        <v>93</v>
      </c>
    </row>
    <row r="21" customFormat="false" ht="15" hidden="false" customHeight="false" outlineLevel="0" collapsed="false">
      <c r="A21" s="6" t="s">
        <v>546</v>
      </c>
      <c r="B21" s="6" t="s">
        <v>547</v>
      </c>
      <c r="C21" s="6" t="s">
        <v>466</v>
      </c>
      <c r="D21" s="6" t="s">
        <v>548</v>
      </c>
      <c r="E21" s="6" t="s">
        <v>28</v>
      </c>
      <c r="F21" s="6" t="s">
        <v>139</v>
      </c>
    </row>
  </sheetData>
  <autoFilter ref="A1:F21"/>
  <conditionalFormatting sqref="E2:E21">
    <cfRule type="cellIs" priority="2" operator="equal" aboveAverage="0" equalAverage="0" bottom="0" percent="0" rank="0" text="" dxfId="9">
      <formula>"Strong"</formula>
    </cfRule>
    <cfRule type="cellIs" priority="3" operator="equal" aboveAverage="0" equalAverage="0" bottom="0" percent="0" rank="0" text="" dxfId="13">
      <formula>"Adequate"</formula>
    </cfRule>
    <cfRule type="cellIs" priority="4" operator="equal" aboveAverage="0" equalAverage="0" bottom="0" percent="0" rank="0" text="" dxfId="10">
      <formula>"Limited"</formula>
    </cfRule>
    <cfRule type="cellIs" priority="5" operator="equal" aboveAverage="0" equalAverage="0" bottom="0" percent="0" rank="0" text="" dxfId="11">
      <formula>"Missing"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0"/>
  </cols>
  <sheetData>
    <row r="1" customFormat="false" ht="15" hidden="false" customHeight="false" outlineLevel="0" collapsed="false">
      <c r="A1" s="11" t="s">
        <v>549</v>
      </c>
    </row>
    <row r="2" customFormat="false" ht="15" hidden="false" customHeight="false" outlineLevel="0" collapsed="false">
      <c r="A2" s="3" t="s">
        <v>550</v>
      </c>
      <c r="B2" s="3" t="s">
        <v>373</v>
      </c>
    </row>
    <row r="3" customFormat="false" ht="15" hidden="false" customHeight="false" outlineLevel="0" collapsed="false">
      <c r="A3" s="8" t="s">
        <v>551</v>
      </c>
      <c r="B3" s="6" t="s">
        <v>552</v>
      </c>
    </row>
    <row r="4" customFormat="false" ht="15" hidden="false" customHeight="false" outlineLevel="0" collapsed="false">
      <c r="A4" s="8" t="s">
        <v>553</v>
      </c>
      <c r="B4" s="6" t="s">
        <v>554</v>
      </c>
    </row>
    <row r="5" customFormat="false" ht="15" hidden="false" customHeight="false" outlineLevel="0" collapsed="false">
      <c r="A5" s="8" t="s">
        <v>555</v>
      </c>
      <c r="B5" s="6" t="s">
        <v>556</v>
      </c>
    </row>
    <row r="6" customFormat="false" ht="15" hidden="false" customHeight="false" outlineLevel="0" collapsed="false">
      <c r="A6" s="8" t="s">
        <v>557</v>
      </c>
      <c r="B6" s="6" t="s">
        <v>558</v>
      </c>
    </row>
    <row r="7" customFormat="false" ht="15" hidden="false" customHeight="false" outlineLevel="0" collapsed="false">
      <c r="A7" s="8" t="s">
        <v>559</v>
      </c>
      <c r="B7" s="6" t="s">
        <v>560</v>
      </c>
    </row>
    <row r="8" customFormat="false" ht="15" hidden="false" customHeight="false" outlineLevel="0" collapsed="false">
      <c r="A8" s="8" t="s">
        <v>561</v>
      </c>
      <c r="B8" s="6" t="s">
        <v>562</v>
      </c>
    </row>
    <row r="9" customFormat="false" ht="15" hidden="false" customHeight="false" outlineLevel="0" collapsed="false">
      <c r="A9" s="8" t="s">
        <v>563</v>
      </c>
      <c r="B9" s="6" t="s">
        <v>564</v>
      </c>
    </row>
    <row r="10" customFormat="false" ht="15" hidden="false" customHeight="false" outlineLevel="0" collapsed="false">
      <c r="A10" s="8" t="s">
        <v>565</v>
      </c>
      <c r="B10" s="6" t="s">
        <v>566</v>
      </c>
    </row>
    <row r="11" customFormat="false" ht="15" hidden="false" customHeight="false" outlineLevel="0" collapsed="false">
      <c r="A11" s="8" t="s">
        <v>567</v>
      </c>
      <c r="B11" s="6" t="s">
        <v>568</v>
      </c>
    </row>
    <row r="12" customFormat="false" ht="15" hidden="false" customHeight="false" outlineLevel="0" collapsed="false">
      <c r="A12" s="8" t="s">
        <v>569</v>
      </c>
      <c r="B12" s="6" t="s">
        <v>570</v>
      </c>
    </row>
    <row r="13" customFormat="false" ht="15" hidden="false" customHeight="false" outlineLevel="0" collapsed="false">
      <c r="A13" s="8" t="s">
        <v>401</v>
      </c>
      <c r="B13" s="6" t="s">
        <v>66</v>
      </c>
    </row>
    <row r="14" customFormat="false" ht="15" hidden="false" customHeight="false" outlineLevel="0" collapsed="false">
      <c r="A14" s="8" t="s">
        <v>571</v>
      </c>
      <c r="B14" s="6" t="s">
        <v>572</v>
      </c>
    </row>
    <row r="16" customFormat="false" ht="15" hidden="false" customHeight="false" outlineLevel="0" collapsed="false">
      <c r="A16" s="11" t="s">
        <v>573</v>
      </c>
    </row>
    <row r="17" customFormat="false" ht="15" hidden="false" customHeight="false" outlineLevel="0" collapsed="false">
      <c r="A17" s="3" t="s">
        <v>574</v>
      </c>
      <c r="B17" s="3" t="s">
        <v>575</v>
      </c>
    </row>
    <row r="18" customFormat="false" ht="15" hidden="false" customHeight="false" outlineLevel="0" collapsed="false">
      <c r="A18" s="8" t="s">
        <v>29</v>
      </c>
      <c r="B18" s="6" t="s">
        <v>576</v>
      </c>
    </row>
    <row r="19" customFormat="false" ht="23.85" hidden="false" customHeight="false" outlineLevel="0" collapsed="false">
      <c r="A19" s="8" t="s">
        <v>61</v>
      </c>
      <c r="B19" s="6" t="s">
        <v>577</v>
      </c>
    </row>
    <row r="20" customFormat="false" ht="15" hidden="false" customHeight="false" outlineLevel="0" collapsed="false">
      <c r="A20" s="8" t="s">
        <v>375</v>
      </c>
      <c r="B20" s="6" t="s">
        <v>578</v>
      </c>
    </row>
    <row r="21" customFormat="false" ht="15" hidden="false" customHeight="false" outlineLevel="0" collapsed="false">
      <c r="A21" s="8" t="s">
        <v>376</v>
      </c>
      <c r="B21" s="6" t="s">
        <v>579</v>
      </c>
    </row>
    <row r="22" customFormat="false" ht="15" hidden="false" customHeight="false" outlineLevel="0" collapsed="false">
      <c r="A22" s="8" t="s">
        <v>377</v>
      </c>
      <c r="B22" s="6" t="s">
        <v>580</v>
      </c>
    </row>
    <row r="24" customFormat="false" ht="15" hidden="false" customHeight="false" outlineLevel="0" collapsed="false">
      <c r="A24" s="11" t="s">
        <v>581</v>
      </c>
    </row>
    <row r="25" customFormat="false" ht="15" hidden="false" customHeight="false" outlineLevel="0" collapsed="false">
      <c r="A25" s="3" t="s">
        <v>574</v>
      </c>
      <c r="B25" s="3" t="s">
        <v>575</v>
      </c>
    </row>
    <row r="26" customFormat="false" ht="15" hidden="false" customHeight="false" outlineLevel="0" collapsed="false">
      <c r="A26" s="8" t="s">
        <v>28</v>
      </c>
      <c r="B26" s="6" t="s">
        <v>582</v>
      </c>
    </row>
    <row r="27" customFormat="false" ht="15" hidden="false" customHeight="false" outlineLevel="0" collapsed="false">
      <c r="A27" s="8" t="s">
        <v>43</v>
      </c>
      <c r="B27" s="6" t="s">
        <v>583</v>
      </c>
    </row>
    <row r="28" customFormat="false" ht="15" hidden="false" customHeight="false" outlineLevel="0" collapsed="false">
      <c r="A28" s="8" t="s">
        <v>233</v>
      </c>
      <c r="B28" s="6" t="s">
        <v>584</v>
      </c>
    </row>
    <row r="29" customFormat="false" ht="15" hidden="false" customHeight="false" outlineLevel="0" collapsed="false">
      <c r="A29" s="8" t="s">
        <v>585</v>
      </c>
      <c r="B29" s="6" t="s">
        <v>586</v>
      </c>
    </row>
    <row r="31" customFormat="false" ht="15" hidden="false" customHeight="false" outlineLevel="0" collapsed="false">
      <c r="A31" s="11" t="s">
        <v>587</v>
      </c>
    </row>
    <row r="32" customFormat="false" ht="15" hidden="false" customHeight="false" outlineLevel="0" collapsed="false">
      <c r="A32" s="3" t="s">
        <v>574</v>
      </c>
      <c r="B32" s="3" t="s">
        <v>575</v>
      </c>
    </row>
    <row r="33" customFormat="false" ht="15" hidden="false" customHeight="false" outlineLevel="0" collapsed="false">
      <c r="A33" s="8" t="s">
        <v>588</v>
      </c>
      <c r="B33" s="6" t="s">
        <v>589</v>
      </c>
    </row>
    <row r="34" customFormat="false" ht="15" hidden="false" customHeight="false" outlineLevel="0" collapsed="false">
      <c r="A34" s="8" t="s">
        <v>590</v>
      </c>
      <c r="B34" s="6" t="s">
        <v>591</v>
      </c>
    </row>
    <row r="35" customFormat="false" ht="15" hidden="false" customHeight="false" outlineLevel="0" collapsed="false">
      <c r="A35" s="8" t="s">
        <v>62</v>
      </c>
      <c r="B35" s="6" t="s">
        <v>592</v>
      </c>
    </row>
    <row r="36" customFormat="false" ht="15" hidden="false" customHeight="false" outlineLevel="0" collapsed="false">
      <c r="A36" s="8" t="s">
        <v>30</v>
      </c>
      <c r="B36" s="6" t="s">
        <v>593</v>
      </c>
    </row>
    <row r="38" customFormat="false" ht="15" hidden="false" customHeight="false" outlineLevel="0" collapsed="false">
      <c r="A38" s="11" t="s">
        <v>594</v>
      </c>
    </row>
    <row r="39" customFormat="false" ht="15" hidden="false" customHeight="false" outlineLevel="0" collapsed="false">
      <c r="A39" s="15" t="s">
        <v>595</v>
      </c>
    </row>
    <row r="40" customFormat="false" ht="15" hidden="false" customHeight="false" outlineLevel="0" collapsed="false">
      <c r="A40" s="16" t="n">
        <v>1</v>
      </c>
      <c r="B40" s="15" t="s">
        <v>596</v>
      </c>
    </row>
    <row r="41" customFormat="false" ht="15" hidden="false" customHeight="false" outlineLevel="0" collapsed="false">
      <c r="A41" s="16" t="n">
        <v>2</v>
      </c>
      <c r="B41" s="15" t="s">
        <v>597</v>
      </c>
    </row>
    <row r="42" customFormat="false" ht="15" hidden="false" customHeight="false" outlineLevel="0" collapsed="false">
      <c r="A42" s="16" t="n">
        <v>3</v>
      </c>
      <c r="B42" s="15" t="s">
        <v>598</v>
      </c>
    </row>
    <row r="43" customFormat="false" ht="15" hidden="false" customHeight="false" outlineLevel="0" collapsed="false">
      <c r="A43" s="16" t="n">
        <v>4</v>
      </c>
      <c r="B43" s="15" t="s">
        <v>599</v>
      </c>
    </row>
    <row r="44" customFormat="false" ht="15" hidden="false" customHeight="false" outlineLevel="0" collapsed="false">
      <c r="A44" s="16" t="n">
        <v>5</v>
      </c>
      <c r="B44" s="15" t="s">
        <v>600</v>
      </c>
    </row>
    <row r="45" customFormat="false" ht="15" hidden="false" customHeight="false" outlineLevel="0" collapsed="false">
      <c r="A45" s="16" t="n">
        <v>6</v>
      </c>
      <c r="B45" s="15" t="s">
        <v>601</v>
      </c>
    </row>
    <row r="46" customFormat="false" ht="15" hidden="false" customHeight="false" outlineLevel="0" collapsed="false">
      <c r="A46" s="16" t="n">
        <v>7</v>
      </c>
      <c r="B46" s="15" t="s">
        <v>602</v>
      </c>
    </row>
    <row r="47" customFormat="false" ht="15" hidden="false" customHeight="false" outlineLevel="0" collapsed="false">
      <c r="A47" s="16" t="n">
        <v>8</v>
      </c>
      <c r="B47" s="15" t="s">
        <v>603</v>
      </c>
    </row>
    <row r="48" customFormat="false" ht="15" hidden="false" customHeight="false" outlineLevel="0" collapsed="false">
      <c r="A48" s="16" t="n">
        <v>9</v>
      </c>
      <c r="B48" s="15" t="s">
        <v>604</v>
      </c>
    </row>
    <row r="49" customFormat="false" ht="15" hidden="false" customHeight="false" outlineLevel="0" collapsed="false">
      <c r="A49" s="16" t="n">
        <v>10</v>
      </c>
      <c r="B49" s="15" t="s">
        <v>605</v>
      </c>
    </row>
    <row r="50" customFormat="false" ht="15" hidden="false" customHeight="false" outlineLevel="0" collapsed="false">
      <c r="A50" s="16" t="n">
        <v>11</v>
      </c>
      <c r="B50" s="15" t="s">
        <v>606</v>
      </c>
    </row>
    <row r="51" customFormat="false" ht="15" hidden="false" customHeight="false" outlineLevel="0" collapsed="false">
      <c r="A51" s="16" t="n">
        <v>12</v>
      </c>
      <c r="B51" s="15" t="s">
        <v>607</v>
      </c>
    </row>
    <row r="52" customFormat="false" ht="15" hidden="false" customHeight="false" outlineLevel="0" collapsed="false">
      <c r="A52" s="16" t="n">
        <v>13</v>
      </c>
      <c r="B52" s="15" t="s">
        <v>608</v>
      </c>
    </row>
    <row r="54" customFormat="false" ht="15" hidden="false" customHeight="false" outlineLevel="0" collapsed="false">
      <c r="A54" s="11" t="s">
        <v>609</v>
      </c>
    </row>
    <row r="55" customFormat="false" ht="15" hidden="false" customHeight="false" outlineLevel="0" collapsed="false">
      <c r="A55" s="8" t="s">
        <v>610</v>
      </c>
      <c r="B55" s="6" t="s">
        <v>31</v>
      </c>
    </row>
    <row r="56" customFormat="false" ht="15" hidden="false" customHeight="false" outlineLevel="0" collapsed="false">
      <c r="A56" s="8" t="s">
        <v>611</v>
      </c>
      <c r="B56" s="6" t="s">
        <v>612</v>
      </c>
    </row>
    <row r="57" customFormat="false" ht="15" hidden="false" customHeight="false" outlineLevel="0" collapsed="false">
      <c r="A57" s="8" t="s">
        <v>613</v>
      </c>
      <c r="B57" s="6" t="s">
        <v>614</v>
      </c>
    </row>
    <row r="58" customFormat="false" ht="15" hidden="false" customHeight="false" outlineLevel="0" collapsed="false">
      <c r="A58" s="8" t="s">
        <v>615</v>
      </c>
      <c r="B58" s="6" t="s">
        <v>616</v>
      </c>
    </row>
    <row r="60" customFormat="false" ht="15" hidden="false" customHeight="false" outlineLevel="0" collapsed="false">
      <c r="A60" s="11" t="s">
        <v>617</v>
      </c>
    </row>
    <row r="61" customFormat="false" ht="90" hidden="false" customHeight="true" outlineLevel="0" collapsed="false">
      <c r="A61" s="13" t="s">
        <v>618</v>
      </c>
      <c r="B61" s="13"/>
    </row>
  </sheetData>
  <mergeCells count="1">
    <mergeCell ref="A61:B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2026-10-04T18:50:23Z</dcterms:created>
  <dc:creator>openpyxl</dc:creator>
  <dc:description/>
  <dc:language>en-US</dc:language>
  <cp:lastModifiedBy/>
  <dcterms:modified xsi:type="dcterms:W3CDTF">2026-10-04T18:50:23Z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