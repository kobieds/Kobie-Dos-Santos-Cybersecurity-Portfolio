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bie\Downloads\"/>
    </mc:Choice>
  </mc:AlternateContent>
  <xr:revisionPtr revIDLastSave="0" documentId="13_ncr:1_{20114FD2-C4EA-4FF8-8B61-0C0CFCA37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A" sheetId="1" r:id="rId1"/>
    <sheet name="Recovery Requirements" sheetId="2" r:id="rId2"/>
    <sheet name="Assumptions" sheetId="3" r:id="rId3"/>
    <sheet name="Summary" sheetId="4" r:id="rId4"/>
  </sheets>
  <definedNames>
    <definedName name="_xlnm._FilterDatabase" localSheetId="0" hidden="1">BIA!$A$1:$T$11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</calcChain>
</file>

<file path=xl/sharedStrings.xml><?xml version="1.0" encoding="utf-8"?>
<sst xmlns="http://schemas.openxmlformats.org/spreadsheetml/2006/main" count="229" uniqueCount="197">
  <si>
    <t>BIA ID</t>
  </si>
  <si>
    <t>Business Process / Activity</t>
  </si>
  <si>
    <t>Process Owner</t>
  </si>
  <si>
    <t>Description</t>
  </si>
  <si>
    <t>Criticality</t>
  </si>
  <si>
    <t>Impact if Unavailable</t>
  </si>
  <si>
    <t>MTPD (Hours)</t>
  </si>
  <si>
    <t>Target RTO (Hours)</t>
  </si>
  <si>
    <t>Target RPO (Hours)</t>
  </si>
  <si>
    <t>Priority</t>
  </si>
  <si>
    <t>Key Dependencies</t>
  </si>
  <si>
    <t>Information / Systems</t>
  </si>
  <si>
    <t>Internal Dependencies</t>
  </si>
  <si>
    <t>External Dependencies</t>
  </si>
  <si>
    <t>Peak / Time Sensitivity</t>
  </si>
  <si>
    <t>Minimum Resources</t>
  </si>
  <si>
    <t>Manual Workaround</t>
  </si>
  <si>
    <t>Recovery Considerations</t>
  </si>
  <si>
    <t>Review Frequency</t>
  </si>
  <si>
    <t>Notes</t>
  </si>
  <si>
    <t>BIA-001</t>
  </si>
  <si>
    <t>Customer Support &amp; Service Operations</t>
  </si>
  <si>
    <t>Customer Operations Lead</t>
  </si>
  <si>
    <t>Receive, manage, and respond to customer support requests and service issues.</t>
  </si>
  <si>
    <t>High</t>
  </si>
  <si>
    <t>Customer disruption, SLA impact, increased backlog, reputational impact.</t>
  </si>
  <si>
    <t>P1</t>
  </si>
  <si>
    <t>SaaS platform; support tooling; communications; customer records.</t>
  </si>
  <si>
    <t>Customer support platform; SaaS application; communications systems.</t>
  </si>
  <si>
    <t>Engineering; IT/Security; Customer Success.</t>
  </si>
  <si>
    <t>Cloud/SaaS vendors; communications providers.</t>
  </si>
  <si>
    <t>High during business hours; elevated during major incidents.</t>
  </si>
  <si>
    <t>Support lead + available support staff.</t>
  </si>
  <si>
    <t>Prioritize critical customers and incidents through approved alternate communication channels.</t>
  </si>
  <si>
    <t>Restore customer-facing services and support tooling; maintain incident communications.</t>
  </si>
  <si>
    <t>Quarterly</t>
  </si>
  <si>
    <t>Modeled Axiom business process.</t>
  </si>
  <si>
    <t>BIA-002</t>
  </si>
  <si>
    <t>SaaS Platform Operations</t>
  </si>
  <si>
    <t>Engineering / IT</t>
  </si>
  <si>
    <t>Operate and maintain the customer-facing Axiom AI SaaS platform.</t>
  </si>
  <si>
    <t>Critical</t>
  </si>
  <si>
    <t>Customer service unavailable; contractual/SLA impact; revenue and reputation impact.</t>
  </si>
  <si>
    <t>Cloud infrastructure; application services; databases; monitoring; network services.</t>
  </si>
  <si>
    <t>AWS/cloud environment; production application; databases; monitoring.</t>
  </si>
  <si>
    <t>Security; Engineering; Customer Support.</t>
  </si>
  <si>
    <t>Cloud and technology service providers.</t>
  </si>
  <si>
    <t>24/7 service availability expectations.</t>
  </si>
  <si>
    <t>Incident lead + engineering responders.</t>
  </si>
  <si>
    <t>Use documented incident and recovery procedures; prioritize restoration of critical services.</t>
  </si>
  <si>
    <t>Recover infrastructure/application services according to recovery sequence and validate service health.</t>
  </si>
  <si>
    <t>Monthly</t>
  </si>
  <si>
    <t>Primary technology-dependent critical activity.</t>
  </si>
  <si>
    <t>BIA-003</t>
  </si>
  <si>
    <t>Identity &amp; Access Administration</t>
  </si>
  <si>
    <t>IT / Security</t>
  </si>
  <si>
    <t>Manage user identities, authentication, privileged access, and access changes.</t>
  </si>
  <si>
    <t>Users or administrators may be unable to access required systems; security exposure may increase.</t>
  </si>
  <si>
    <t>Identity provider; access control process; HR joiner/mover/leaver information.</t>
  </si>
  <si>
    <t>Identity and access management systems; administrative consoles.</t>
  </si>
  <si>
    <t>HR; Engineering; GRC.</t>
  </si>
  <si>
    <t>Identity/cloud providers.</t>
  </si>
  <si>
    <t>Business-hours activity with elevated importance during incidents and personnel changes.</t>
  </si>
  <si>
    <t>IT/Security administrator.</t>
  </si>
  <si>
    <t>Prioritize privileged and critical operational access; use approved emergency access process.</t>
  </si>
  <si>
    <t>Restore identity services and validate privileged access controls before normal operations.</t>
  </si>
  <si>
    <t>Access continuity and security must be balanced.</t>
  </si>
  <si>
    <t>BIA-004</t>
  </si>
  <si>
    <t>Security Monitoring &amp; Incident Response</t>
  </si>
  <si>
    <t>Information Security / GRC</t>
  </si>
  <si>
    <t>Monitor security events, assess incidents, coordinate response, and preserve evidence.</t>
  </si>
  <si>
    <t>Delayed detection and response may increase security, operational, and regulatory impact.</t>
  </si>
  <si>
    <t>Logging; monitoring; incident reporting; personnel; cloud security services.</t>
  </si>
  <si>
    <t>Security monitoring/logging; incident management records; cloud security tooling.</t>
  </si>
  <si>
    <t>Engineering; IT; GRC; Executive Management.</t>
  </si>
  <si>
    <t>Security/cloud service providers.</t>
  </si>
  <si>
    <t>24/7 monitoring or on-call capability depending on service model.</t>
  </si>
  <si>
    <t>Incident lead + security/technical responders.</t>
  </si>
  <si>
    <t>Use alternate notification and manual escalation if monitoring tooling is unavailable.</t>
  </si>
  <si>
    <t>Restore visibility, validate logs, establish incident communications, and maintain evidence handling.</t>
  </si>
  <si>
    <t>Supports multiple other critical activities.</t>
  </si>
  <si>
    <t>BIA-005</t>
  </si>
  <si>
    <t>Software Development &amp; Release Management</t>
  </si>
  <si>
    <t>Engineering</t>
  </si>
  <si>
    <t>Develop, test, review, and deploy application changes.</t>
  </si>
  <si>
    <t>Release delays, inability to remediate defects/vulnerabilities, customer impact.</t>
  </si>
  <si>
    <t>P2</t>
  </si>
  <si>
    <t>Source code; CI/CD; development environments; repositories; technical staff.</t>
  </si>
  <si>
    <t>Source repositories; CI/CD tooling; development/test environments.</t>
  </si>
  <si>
    <t>Security; IT; Product.</t>
  </si>
  <si>
    <t>Cloud/code-hosting providers.</t>
  </si>
  <si>
    <t>Business-hours with elevated sensitivity around major releases.</t>
  </si>
  <si>
    <t>Engineering team with security support.</t>
  </si>
  <si>
    <t>Defer non-critical releases; prioritize security and service-restoration changes.</t>
  </si>
  <si>
    <t>Restore source-control and build/deployment capability; validate environment integrity.</t>
  </si>
  <si>
    <t>Security-sensitive changes may receive priority.</t>
  </si>
  <si>
    <t>BIA-006</t>
  </si>
  <si>
    <t>Vulnerability Management &amp; Security Remediation</t>
  </si>
  <si>
    <t>Identify, prioritize, track, and remediate technical vulnerabilities and security findings.</t>
  </si>
  <si>
    <t>Unaddressed vulnerabilities may increase likelihood or impact of security incidents.</t>
  </si>
  <si>
    <t>Asset inventory; vulnerability information; engineering resources; remediation tracking.</t>
  </si>
  <si>
    <t>Vulnerability management records; asset inventory; ticketing/GRC platform.</t>
  </si>
  <si>
    <t>Engineering; IT; GRC.</t>
  </si>
  <si>
    <t>Security tooling and technology vendors.</t>
  </si>
  <si>
    <t>Priority increases when critical vulnerabilities are identified.</t>
  </si>
  <si>
    <t>Security/GRC lead + technical remediation owners.</t>
  </si>
  <si>
    <t>Use risk-based prioritization and manual tracking if the primary workflow is unavailable.</t>
  </si>
  <si>
    <t>Restore vulnerability records and prioritize critical findings first.</t>
  </si>
  <si>
    <t>Linked to Project 2 control findings.</t>
  </si>
  <si>
    <t>BIA-007</t>
  </si>
  <si>
    <t>Third-Party &amp; Supplier Security Management</t>
  </si>
  <si>
    <t>GRC / Procurement</t>
  </si>
  <si>
    <t>Assess and monitor security risks associated with suppliers and service providers.</t>
  </si>
  <si>
    <t>Medium</t>
  </si>
  <si>
    <t>Supplier risks may remain unidentified; onboarding and renewals may be delayed.</t>
  </si>
  <si>
    <t>Supplier inventory; contracts; security questionnaires; risk assessments.</t>
  </si>
  <si>
    <t>TPRM records; procurement records; security assessment evidence.</t>
  </si>
  <si>
    <t>Procurement; Legal; GRC; system owners.</t>
  </si>
  <si>
    <t>Cloud, SaaS, communications, and other suppliers.</t>
  </si>
  <si>
    <t>Higher sensitivity during onboarding, renewal, or supplier incident.</t>
  </si>
  <si>
    <t>GRC/Procurement owner.</t>
  </si>
  <si>
    <t>Prioritize critical suppliers and defer low-risk reviews where appropriate.</t>
  </si>
  <si>
    <t>Restore supplier records and reassess critical suppliers first.</t>
  </si>
  <si>
    <t>Critical supplier outages may also affect P1 processes.</t>
  </si>
  <si>
    <t>BIA-008</t>
  </si>
  <si>
    <t>ISMS Governance &amp; Compliance</t>
  </si>
  <si>
    <t>Maintain ISMS documentation, risk records, policies, objectives, SoA, and compliance activities.</t>
  </si>
  <si>
    <t>Governance activities may be delayed; audit readiness and risk oversight may degrade.</t>
  </si>
  <si>
    <t>P3</t>
  </si>
  <si>
    <t>ISMS records; risk register; policies; control evidence; management review inputs.</t>
  </si>
  <si>
    <t>GRC repository; risk register; SoA; policy library.</t>
  </si>
  <si>
    <t>Executive Management; control owners; process owners.</t>
  </si>
  <si>
    <t>External auditors/certification body; legal/regulatory sources.</t>
  </si>
  <si>
    <t>Higher sensitivity around audits and management reviews.</t>
  </si>
  <si>
    <t>GRC/ISMS owner.</t>
  </si>
  <si>
    <t>Use offline copies of critical governance records and continue high-priority risk activities manually.</t>
  </si>
  <si>
    <t>Restore GRC records and validate document integrity.</t>
  </si>
  <si>
    <t>Supports organization-wide governance.</t>
  </si>
  <si>
    <t>BIA-009</t>
  </si>
  <si>
    <t>Customer &amp; Business Communications</t>
  </si>
  <si>
    <t>Customer Success / Operations</t>
  </si>
  <si>
    <t>Coordinate communications with customers and stakeholders during operational or security events.</t>
  </si>
  <si>
    <t>Delayed communication may increase customer impact, uncertainty, and reputational risk.</t>
  </si>
  <si>
    <t>Contact information; communication channels; incident information; approved messaging.</t>
  </si>
  <si>
    <t>Email; collaboration tools; customer communication channels.</t>
  </si>
  <si>
    <t>Incident Response; Customer Support; Executive Management.</t>
  </si>
  <si>
    <t>Email/communications providers.</t>
  </si>
  <si>
    <t>Highest during incidents and major service disruptions.</t>
  </si>
  <si>
    <t>Communications lead + designated backup.</t>
  </si>
  <si>
    <t>Use approved alternate communication channels and pre-defined notification procedures.</t>
  </si>
  <si>
    <t>Restore primary communication services and validate contact lists.</t>
  </si>
  <si>
    <t>Exact notification requirements depend on incident type and contractual obligations.</t>
  </si>
  <si>
    <t>BIA-010</t>
  </si>
  <si>
    <t>Backup, Recovery &amp; Data Restoration</t>
  </si>
  <si>
    <t>Maintain and restore backups supporting critical information and systems.</t>
  </si>
  <si>
    <t>Data loss or inability to restore systems may prolong outages and increase business impact.</t>
  </si>
  <si>
    <t>Backup services; cloud storage; databases; recovery procedures; technical staff.</t>
  </si>
  <si>
    <t>Database backups; cloud storage; recovery tooling.</t>
  </si>
  <si>
    <t>Engineering; IT; Security.</t>
  </si>
  <si>
    <t>Cloud/storage providers.</t>
  </si>
  <si>
    <t>Highest during service outages or data integrity events.</t>
  </si>
  <si>
    <t>Recovery lead + engineering/IT responders.</t>
  </si>
  <si>
    <t>Use last known-good backup and documented recovery procedures.</t>
  </si>
  <si>
    <t>Validate backup availability, restore critical systems, verify integrity, and document recovery results.</t>
  </si>
  <si>
    <t>Recovery objectives should be validated through testing.</t>
  </si>
  <si>
    <t>Definition</t>
  </si>
  <si>
    <t>Target Recovery Requirement</t>
  </si>
  <si>
    <t>Recovery is required within the shortest defined RTO and should be prioritized during a major disruption.</t>
  </si>
  <si>
    <t>Recovery is required after P1 activities and within the defined business-impact tolerance.</t>
  </si>
  <si>
    <t>Moderate</t>
  </si>
  <si>
    <t>Recovery can follow higher-priority activities without creating unacceptable immediate business impact.</t>
  </si>
  <si>
    <t>Item</t>
  </si>
  <si>
    <t>Purpose</t>
  </si>
  <si>
    <t>Business Impact Analysis for the fictional Axiom AI Technologies environment.</t>
  </si>
  <si>
    <t>Framework Alignment</t>
  </si>
  <si>
    <t>Designed to support business continuity and disaster recovery planning and align with the modeled ISMS.</t>
  </si>
  <si>
    <t>MTPD</t>
  </si>
  <si>
    <t>Maximum Tolerable Period of Disruption: the maximum period a process can be unavailable before impacts become unacceptable.</t>
  </si>
  <si>
    <t>RTO</t>
  </si>
  <si>
    <t>Recovery Time Objective: target time to restore a process or service following disruption.</t>
  </si>
  <si>
    <t>RPO</t>
  </si>
  <si>
    <t>Recovery Point Objective: target maximum amount of data loss measured in time.</t>
  </si>
  <si>
    <t>Important</t>
  </si>
  <si>
    <t>RTO/RPO values are portfolio assumptions and should be validated with actual business owners in a real organization.</t>
  </si>
  <si>
    <t>Scope</t>
  </si>
  <si>
    <t>The BIA covers critical business and technology-supported activities within the modeled Axiom AI ISMS environment.</t>
  </si>
  <si>
    <t>Review</t>
  </si>
  <si>
    <t>BIA assumptions should be reviewed when there are material changes to services, systems, suppliers, business processes, or risk exposure.</t>
  </si>
  <si>
    <t>Axiom AI Technologies — Business Impact Analysis Summary</t>
  </si>
  <si>
    <t>Total BIA Activities</t>
  </si>
  <si>
    <t>Critical (Criticality)</t>
  </si>
  <si>
    <t>High (Criticality)</t>
  </si>
  <si>
    <t>P1 Recovery Priority</t>
  </si>
  <si>
    <t>P2 Recovery Priority</t>
  </si>
  <si>
    <t>P3 Recovery Priority</t>
  </si>
  <si>
    <t>Shortest Target RTO (hours)</t>
  </si>
  <si>
    <t>Shortest Target RPO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</si>
</sst>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15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3300"/>
        </patternFill>
      </fill>
    </dxf>
    <dxf>
      <fill>
        <patternFill>
          <bgColor rgb="FFFF99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12" customWidth="1"/>
    <col min="2" max="2" width="32" customWidth="1"/>
    <col min="3" max="3" width="24" customWidth="1"/>
    <col min="4" max="4" width="48" customWidth="1"/>
    <col min="5" max="5" width="14" customWidth="1"/>
    <col min="6" max="6" width="48" customWidth="1"/>
    <col min="7" max="7" width="15" customWidth="1"/>
    <col min="8" max="9" width="16" customWidth="1"/>
    <col min="10" max="10" width="12" customWidth="1"/>
    <col min="11" max="11" width="42" customWidth="1"/>
    <col min="12" max="12" width="38" customWidth="1"/>
    <col min="13" max="14" width="34" customWidth="1"/>
    <col min="15" max="16" width="30" customWidth="1"/>
    <col min="17" max="17" width="42" customWidth="1"/>
    <col min="18" max="18" width="48" customWidth="1"/>
    <col min="19" max="19" width="18" customWidth="1"/>
    <col min="20" max="20" width="32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8.8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8</v>
      </c>
      <c r="H2" s="2">
        <v>4</v>
      </c>
      <c r="I2" s="2">
        <v>24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</row>
    <row r="3" spans="1:20" ht="43.2" x14ac:dyDescent="0.3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>
        <v>4</v>
      </c>
      <c r="H3" s="2">
        <v>2</v>
      </c>
      <c r="I3" s="2">
        <v>4</v>
      </c>
      <c r="J3" s="2" t="s">
        <v>26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</row>
    <row r="4" spans="1:20" ht="43.2" x14ac:dyDescent="0.3">
      <c r="A4" s="2" t="s">
        <v>53</v>
      </c>
      <c r="B4" s="2" t="s">
        <v>54</v>
      </c>
      <c r="C4" s="2" t="s">
        <v>55</v>
      </c>
      <c r="D4" s="2" t="s">
        <v>56</v>
      </c>
      <c r="E4" s="2" t="s">
        <v>24</v>
      </c>
      <c r="F4" s="2" t="s">
        <v>57</v>
      </c>
      <c r="G4" s="2">
        <v>8</v>
      </c>
      <c r="H4" s="2">
        <v>4</v>
      </c>
      <c r="I4" s="2">
        <v>24</v>
      </c>
      <c r="J4" s="2" t="s">
        <v>26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63</v>
      </c>
      <c r="Q4" s="2" t="s">
        <v>64</v>
      </c>
      <c r="R4" s="2" t="s">
        <v>65</v>
      </c>
      <c r="S4" s="2" t="s">
        <v>35</v>
      </c>
      <c r="T4" s="2" t="s">
        <v>66</v>
      </c>
    </row>
    <row r="5" spans="1:20" ht="43.2" x14ac:dyDescent="0.3">
      <c r="A5" s="2" t="s">
        <v>67</v>
      </c>
      <c r="B5" s="2" t="s">
        <v>68</v>
      </c>
      <c r="C5" s="2" t="s">
        <v>69</v>
      </c>
      <c r="D5" s="2" t="s">
        <v>70</v>
      </c>
      <c r="E5" s="2" t="s">
        <v>41</v>
      </c>
      <c r="F5" s="2" t="s">
        <v>71</v>
      </c>
      <c r="G5" s="2">
        <v>4</v>
      </c>
      <c r="H5" s="2">
        <v>2</v>
      </c>
      <c r="I5" s="2">
        <v>4</v>
      </c>
      <c r="J5" s="2" t="s">
        <v>26</v>
      </c>
      <c r="K5" s="2" t="s">
        <v>72</v>
      </c>
      <c r="L5" s="2" t="s">
        <v>73</v>
      </c>
      <c r="M5" s="2" t="s">
        <v>74</v>
      </c>
      <c r="N5" s="2" t="s">
        <v>75</v>
      </c>
      <c r="O5" s="2" t="s">
        <v>76</v>
      </c>
      <c r="P5" s="2" t="s">
        <v>77</v>
      </c>
      <c r="Q5" s="2" t="s">
        <v>78</v>
      </c>
      <c r="R5" s="2" t="s">
        <v>79</v>
      </c>
      <c r="S5" s="2" t="s">
        <v>51</v>
      </c>
      <c r="T5" s="2" t="s">
        <v>80</v>
      </c>
    </row>
    <row r="6" spans="1:20" ht="28.8" x14ac:dyDescent="0.3">
      <c r="A6" s="2" t="s">
        <v>81</v>
      </c>
      <c r="B6" s="2" t="s">
        <v>82</v>
      </c>
      <c r="C6" s="2" t="s">
        <v>83</v>
      </c>
      <c r="D6" s="2" t="s">
        <v>84</v>
      </c>
      <c r="E6" s="2" t="s">
        <v>24</v>
      </c>
      <c r="F6" s="2" t="s">
        <v>85</v>
      </c>
      <c r="G6" s="2">
        <v>24</v>
      </c>
      <c r="H6" s="2">
        <v>8</v>
      </c>
      <c r="I6" s="2">
        <v>24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  <c r="O6" s="2" t="s">
        <v>91</v>
      </c>
      <c r="P6" s="2" t="s">
        <v>92</v>
      </c>
      <c r="Q6" s="2" t="s">
        <v>93</v>
      </c>
      <c r="R6" s="2" t="s">
        <v>94</v>
      </c>
      <c r="S6" s="2" t="s">
        <v>35</v>
      </c>
      <c r="T6" s="2" t="s">
        <v>95</v>
      </c>
    </row>
    <row r="7" spans="1:20" ht="28.8" x14ac:dyDescent="0.3">
      <c r="A7" s="2" t="s">
        <v>96</v>
      </c>
      <c r="B7" s="2" t="s">
        <v>97</v>
      </c>
      <c r="C7" s="2" t="s">
        <v>69</v>
      </c>
      <c r="D7" s="2" t="s">
        <v>98</v>
      </c>
      <c r="E7" s="2" t="s">
        <v>24</v>
      </c>
      <c r="F7" s="2" t="s">
        <v>99</v>
      </c>
      <c r="G7" s="2">
        <v>24</v>
      </c>
      <c r="H7" s="2">
        <v>8</v>
      </c>
      <c r="I7" s="2">
        <v>24</v>
      </c>
      <c r="J7" s="2" t="s">
        <v>86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104</v>
      </c>
      <c r="P7" s="2" t="s">
        <v>105</v>
      </c>
      <c r="Q7" s="2" t="s">
        <v>106</v>
      </c>
      <c r="R7" s="2" t="s">
        <v>107</v>
      </c>
      <c r="S7" s="2" t="s">
        <v>51</v>
      </c>
      <c r="T7" s="2" t="s">
        <v>108</v>
      </c>
    </row>
    <row r="8" spans="1:20" ht="43.2" x14ac:dyDescent="0.3">
      <c r="A8" s="2" t="s">
        <v>109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>
        <v>72</v>
      </c>
      <c r="H8" s="2">
        <v>24</v>
      </c>
      <c r="I8" s="2">
        <v>48</v>
      </c>
      <c r="J8" s="2" t="s">
        <v>86</v>
      </c>
      <c r="K8" s="2" t="s">
        <v>115</v>
      </c>
      <c r="L8" s="2" t="s">
        <v>116</v>
      </c>
      <c r="M8" s="2" t="s">
        <v>117</v>
      </c>
      <c r="N8" s="2" t="s">
        <v>118</v>
      </c>
      <c r="O8" s="2" t="s">
        <v>119</v>
      </c>
      <c r="P8" s="2" t="s">
        <v>120</v>
      </c>
      <c r="Q8" s="2" t="s">
        <v>121</v>
      </c>
      <c r="R8" s="2" t="s">
        <v>122</v>
      </c>
      <c r="S8" s="2" t="s">
        <v>35</v>
      </c>
      <c r="T8" s="2" t="s">
        <v>123</v>
      </c>
    </row>
    <row r="9" spans="1:20" ht="28.8" x14ac:dyDescent="0.3">
      <c r="A9" s="2" t="s">
        <v>124</v>
      </c>
      <c r="B9" s="2" t="s">
        <v>125</v>
      </c>
      <c r="C9" s="2" t="s">
        <v>69</v>
      </c>
      <c r="D9" s="2" t="s">
        <v>126</v>
      </c>
      <c r="E9" s="2" t="s">
        <v>113</v>
      </c>
      <c r="F9" s="2" t="s">
        <v>127</v>
      </c>
      <c r="G9" s="2">
        <v>168</v>
      </c>
      <c r="H9" s="2">
        <v>72</v>
      </c>
      <c r="I9" s="2">
        <v>48</v>
      </c>
      <c r="J9" s="2" t="s">
        <v>128</v>
      </c>
      <c r="K9" s="2" t="s">
        <v>129</v>
      </c>
      <c r="L9" s="2" t="s">
        <v>130</v>
      </c>
      <c r="M9" s="2" t="s">
        <v>131</v>
      </c>
      <c r="N9" s="2" t="s">
        <v>132</v>
      </c>
      <c r="O9" s="2" t="s">
        <v>133</v>
      </c>
      <c r="P9" s="2" t="s">
        <v>134</v>
      </c>
      <c r="Q9" s="2" t="s">
        <v>135</v>
      </c>
      <c r="R9" s="2" t="s">
        <v>136</v>
      </c>
      <c r="S9" s="2" t="s">
        <v>35</v>
      </c>
      <c r="T9" s="2" t="s">
        <v>137</v>
      </c>
    </row>
    <row r="10" spans="1:20" ht="43.2" x14ac:dyDescent="0.3">
      <c r="A10" s="2" t="s">
        <v>138</v>
      </c>
      <c r="B10" s="2" t="s">
        <v>139</v>
      </c>
      <c r="C10" s="2" t="s">
        <v>140</v>
      </c>
      <c r="D10" s="2" t="s">
        <v>141</v>
      </c>
      <c r="E10" s="2" t="s">
        <v>24</v>
      </c>
      <c r="F10" s="2" t="s">
        <v>142</v>
      </c>
      <c r="G10" s="2">
        <v>8</v>
      </c>
      <c r="H10" s="2">
        <v>4</v>
      </c>
      <c r="I10" s="2">
        <v>24</v>
      </c>
      <c r="J10" s="2" t="s">
        <v>26</v>
      </c>
      <c r="K10" s="2" t="s">
        <v>143</v>
      </c>
      <c r="L10" s="2" t="s">
        <v>144</v>
      </c>
      <c r="M10" s="2" t="s">
        <v>145</v>
      </c>
      <c r="N10" s="2" t="s">
        <v>146</v>
      </c>
      <c r="O10" s="2" t="s">
        <v>147</v>
      </c>
      <c r="P10" s="2" t="s">
        <v>148</v>
      </c>
      <c r="Q10" s="2" t="s">
        <v>149</v>
      </c>
      <c r="R10" s="2" t="s">
        <v>150</v>
      </c>
      <c r="S10" s="2" t="s">
        <v>35</v>
      </c>
      <c r="T10" s="2" t="s">
        <v>151</v>
      </c>
    </row>
    <row r="11" spans="1:20" ht="28.8" x14ac:dyDescent="0.3">
      <c r="A11" s="2" t="s">
        <v>152</v>
      </c>
      <c r="B11" s="2" t="s">
        <v>153</v>
      </c>
      <c r="C11" s="2" t="s">
        <v>39</v>
      </c>
      <c r="D11" s="2" t="s">
        <v>154</v>
      </c>
      <c r="E11" s="2" t="s">
        <v>41</v>
      </c>
      <c r="F11" s="2" t="s">
        <v>155</v>
      </c>
      <c r="G11" s="2">
        <v>4</v>
      </c>
      <c r="H11" s="2">
        <v>2</v>
      </c>
      <c r="I11" s="2">
        <v>4</v>
      </c>
      <c r="J11" s="2" t="s">
        <v>26</v>
      </c>
      <c r="K11" s="2" t="s">
        <v>156</v>
      </c>
      <c r="L11" s="2" t="s">
        <v>157</v>
      </c>
      <c r="M11" s="2" t="s">
        <v>158</v>
      </c>
      <c r="N11" s="2" t="s">
        <v>159</v>
      </c>
      <c r="O11" s="2" t="s">
        <v>160</v>
      </c>
      <c r="P11" s="2" t="s">
        <v>161</v>
      </c>
      <c r="Q11" s="2" t="s">
        <v>162</v>
      </c>
      <c r="R11" s="2" t="s">
        <v>163</v>
      </c>
      <c r="S11" s="2" t="s">
        <v>51</v>
      </c>
      <c r="T11" s="2" t="s">
        <v>164</v>
      </c>
    </row>
  </sheetData>
  <autoFilter ref="A1:T11" xr:uid="{00000000-0009-0000-0000-000000000000}"/>
  <conditionalFormatting sqref="E2:E11">
    <cfRule type="cellIs" dxfId="0" priority="5" operator="equal">
      <formula>"High"</formula>
    </cfRule>
    <cfRule type="cellIs" dxfId="1" priority="4" operator="equal">
      <formula>"Critical"</formula>
    </cfRule>
    <cfRule type="cellIs" dxfId="2" priority="3" operator="equal">
      <formula>"Medium"</formula>
    </cfRule>
    <cfRule type="cellIs" dxfId="3" priority="2" operator="equal">
      <formula>"High"</formula>
    </cfRule>
    <cfRule type="cellIs" dxfId="4" priority="1" operator="equal">
      <formula>"High"</formula>
    </cfRule>
  </conditionalFormatting>
  <dataValidations count="3">
    <dataValidation type="list" sqref="E2:E11" xr:uid="{00000000-0002-0000-0000-000000000000}">
      <formula1>"Critical,High,Medium,Low"</formula1>
    </dataValidation>
    <dataValidation type="list" sqref="J2:J11" xr:uid="{00000000-0002-0000-0000-000001000000}">
      <formula1>"P1,P2,P3"</formula1>
    </dataValidation>
    <dataValidation type="list" sqref="S2:S11" xr:uid="{00000000-0002-0000-0000-000002000000}">
      <formula1>"Monthly,Quarterly,Semi-Annual,Annual"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90" customWidth="1"/>
  </cols>
  <sheetData>
    <row r="1" spans="1:3" x14ac:dyDescent="0.3">
      <c r="A1" s="3" t="s">
        <v>9</v>
      </c>
      <c r="B1" s="3" t="s">
        <v>165</v>
      </c>
      <c r="C1" s="3" t="s">
        <v>166</v>
      </c>
    </row>
    <row r="2" spans="1:3" x14ac:dyDescent="0.3">
      <c r="A2" s="4" t="s">
        <v>26</v>
      </c>
      <c r="B2" s="4" t="s">
        <v>41</v>
      </c>
      <c r="C2" s="4" t="s">
        <v>167</v>
      </c>
    </row>
    <row r="3" spans="1:3" x14ac:dyDescent="0.3">
      <c r="A3" s="4" t="s">
        <v>86</v>
      </c>
      <c r="B3" s="4" t="s">
        <v>24</v>
      </c>
      <c r="C3" s="4" t="s">
        <v>168</v>
      </c>
    </row>
    <row r="4" spans="1:3" x14ac:dyDescent="0.3">
      <c r="A4" s="4" t="s">
        <v>128</v>
      </c>
      <c r="B4" s="4" t="s">
        <v>169</v>
      </c>
      <c r="C4" s="4" t="s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cols>
    <col min="1" max="1" width="25" customWidth="1"/>
    <col min="2" max="2" width="100" customWidth="1"/>
  </cols>
  <sheetData>
    <row r="1" spans="1:2" x14ac:dyDescent="0.3">
      <c r="A1" s="3" t="s">
        <v>171</v>
      </c>
      <c r="B1" s="3" t="s">
        <v>3</v>
      </c>
    </row>
    <row r="2" spans="1:2" x14ac:dyDescent="0.3">
      <c r="A2" s="4" t="s">
        <v>172</v>
      </c>
      <c r="B2" s="4" t="s">
        <v>173</v>
      </c>
    </row>
    <row r="3" spans="1:2" x14ac:dyDescent="0.3">
      <c r="A3" s="4" t="s">
        <v>174</v>
      </c>
      <c r="B3" s="4" t="s">
        <v>175</v>
      </c>
    </row>
    <row r="4" spans="1:2" ht="28.8" x14ac:dyDescent="0.3">
      <c r="A4" s="4" t="s">
        <v>176</v>
      </c>
      <c r="B4" s="4" t="s">
        <v>177</v>
      </c>
    </row>
    <row r="5" spans="1:2" x14ac:dyDescent="0.3">
      <c r="A5" s="4" t="s">
        <v>178</v>
      </c>
      <c r="B5" s="4" t="s">
        <v>179</v>
      </c>
    </row>
    <row r="6" spans="1:2" x14ac:dyDescent="0.3">
      <c r="A6" s="4" t="s">
        <v>180</v>
      </c>
      <c r="B6" s="4" t="s">
        <v>181</v>
      </c>
    </row>
    <row r="7" spans="1:2" x14ac:dyDescent="0.3">
      <c r="A7" s="4" t="s">
        <v>182</v>
      </c>
      <c r="B7" s="4" t="s">
        <v>183</v>
      </c>
    </row>
    <row r="8" spans="1:2" x14ac:dyDescent="0.3">
      <c r="A8" s="4" t="s">
        <v>184</v>
      </c>
      <c r="B8" s="4" t="s">
        <v>185</v>
      </c>
    </row>
    <row r="9" spans="1:2" ht="28.8" x14ac:dyDescent="0.3">
      <c r="A9" s="4" t="s">
        <v>186</v>
      </c>
      <c r="B9" s="4" t="s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sqref="A1:B1"/>
    </sheetView>
  </sheetViews>
  <sheetFormatPr defaultRowHeight="14.4" x14ac:dyDescent="0.3"/>
  <cols>
    <col min="1" max="1" width="40" customWidth="1"/>
    <col min="2" max="2" width="25" customWidth="1"/>
  </cols>
  <sheetData>
    <row r="1" spans="1:2" x14ac:dyDescent="0.3">
      <c r="A1" s="5" t="s">
        <v>188</v>
      </c>
      <c r="B1" s="6"/>
    </row>
    <row r="2" spans="1:2" x14ac:dyDescent="0.3">
      <c r="A2" t="s">
        <v>189</v>
      </c>
      <c r="B2">
        <v>10</v>
      </c>
    </row>
    <row r="3" spans="1:2" x14ac:dyDescent="0.3">
      <c r="A3" t="s">
        <v>190</v>
      </c>
      <c r="B3">
        <f>COUNTIF(BIA!E2:E11,"Critical")</f>
        <v>3</v>
      </c>
    </row>
    <row r="4" spans="1:2" x14ac:dyDescent="0.3">
      <c r="A4" t="s">
        <v>191</v>
      </c>
      <c r="B4">
        <f>COUNTIF(BIA!E2:E11,"High")</f>
        <v>5</v>
      </c>
    </row>
    <row r="5" spans="1:2" x14ac:dyDescent="0.3">
      <c r="A5" t="s">
        <v>192</v>
      </c>
      <c r="B5">
        <f>COUNTIF(BIA!J2:J11,"P1")</f>
        <v>6</v>
      </c>
    </row>
    <row r="6" spans="1:2" x14ac:dyDescent="0.3">
      <c r="A6" t="s">
        <v>193</v>
      </c>
      <c r="B6">
        <f>COUNTIF(BIA!J2:J11,"P2")</f>
        <v>3</v>
      </c>
    </row>
    <row r="7" spans="1:2" x14ac:dyDescent="0.3">
      <c r="A7" t="s">
        <v>194</v>
      </c>
      <c r="B7">
        <f>COUNTIF(BIA!J2:J11,"P3")</f>
        <v>1</v>
      </c>
    </row>
    <row r="8" spans="1:2" x14ac:dyDescent="0.3">
      <c r="A8" t="s">
        <v>195</v>
      </c>
      <c r="B8">
        <f>MIN(BIA!H2:H11)</f>
        <v>2</v>
      </c>
    </row>
    <row r="9" spans="1:2" x14ac:dyDescent="0.3">
      <c r="A9" t="s">
        <v>196</v>
      </c>
      <c r="B9">
        <f>MIN(BIA!I2:I11)</f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BIA</vt:lpstr>
      <vt:lpstr>Recovery Requirements</vt:lpstr>
      <vt:lpstr>Assumptions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 - Yara Hkaimah Abou Fakher</cp:lastModifiedBy>
  <dcterms:created xsi:type="dcterms:W3CDTF">2026-09-29T22:30:11Z</dcterms:created>
  <dcterms:modified xsi:type="dcterms:W3CDTF">2026-09-30T05:58:05Z</dcterms:modified>
</cp:coreProperties>
</file>