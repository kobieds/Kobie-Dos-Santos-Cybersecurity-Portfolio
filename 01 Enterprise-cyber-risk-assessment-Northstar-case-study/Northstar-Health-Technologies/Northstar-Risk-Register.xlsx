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13_ncr:1_{3D2011E6-DC74-4244-92A7-79CF50AD7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-Register" sheetId="1" r:id="rId1"/>
    <sheet name="Risk-Treatment-Plan" sheetId="2" r:id="rId2"/>
    <sheet name="Residual-Risk-Assessment" sheetId="3" r:id="rId3"/>
  </sheets>
  <definedNames>
    <definedName name="_xlnm._FilterDatabase" localSheetId="2" hidden="1">'Residual-Risk-Assessment'!$A$1:$Z$16</definedName>
    <definedName name="_xlnm._FilterDatabase" localSheetId="0" hidden="1">'Risk-Register'!$A$1:$Z$1</definedName>
    <definedName name="_xlnm._FilterDatabase" localSheetId="1" hidden="1">'Risk-Treatment-Plan'!$A$1:$Z$16</definedName>
    <definedName name="MY_FUNCTION1">_xludf.LAMBDA(IF(OR('Risk-Register'!$I$2="",'Risk-Register'!$J$2=""),"",'Risk-Register'!$I$2*'Risk-Register'!$J$2))</definedName>
    <definedName name="MY_FUNCTION2">_xludf.LAMBDA(IF('Risk-Register'!$K$2="","",IF('Risk-Register'!$K$2&lt;=4,"Low",IF('Risk-Register'!$K$2&lt;=9,"Moderate",IF('Risk-Register'!$K$2&lt;=16,"High","Critical")))))</definedName>
    <definedName name="MY_FUNCTION3">_xludf.LAMBDA(IF(OR('Risk-Register'!$Q$2="",'Risk-Register'!$R$2=""),"",'Risk-Register'!$Q$2*'Risk-Register'!$R$2))</definedName>
    <definedName name="MY_FUNCTION4">_xludf.LAMBDA(IF('Risk-Register'!$S$2="","",IF('Risk-Register'!$S$2&lt;=4,"Low",IF('Risk-Register'!$S$2&lt;=9,"Moderate",IF('Risk-Register'!$S$2&lt;=16,"High","Critical")))))</definedName>
    <definedName name="MY_FUNCTION5">_xludf.LAMBDA(IF(OR('Residual-Risk-Assessment'!$G$2="",'Residual-Risk-Assessment'!$H$2=""),"",'Residual-Risk-Assessment'!$G$2*'Residual-Risk-Assessment'!$H$2))</definedName>
    <definedName name="MY_FUNCTION6">_xludf.LAMBDA(IF('Residual-Risk-Assessment'!$I$2="","",IF('Residual-Risk-Assessment'!$I$2&lt;=4,"Low",IF('Residual-Risk-Assessment'!$I$2&lt;=9,"Moderate",IF('Residual-Risk-Assessment'!$I$2&lt;=16,"High","Critical")))))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J16" i="3" s="1"/>
  <c r="I15" i="3"/>
  <c r="J15" i="3" s="1"/>
  <c r="I14" i="3"/>
  <c r="J14" i="3" s="1"/>
  <c r="I13" i="3"/>
  <c r="J13" i="3" s="1"/>
  <c r="I12" i="3"/>
  <c r="J12" i="3" s="1"/>
  <c r="I11" i="3"/>
  <c r="J11" i="3" s="1"/>
  <c r="C11" i="3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S16" i="1"/>
  <c r="T16" i="1" s="1"/>
  <c r="K16" i="1"/>
  <c r="C16" i="3" s="1"/>
  <c r="S15" i="1"/>
  <c r="T15" i="1" s="1"/>
  <c r="K15" i="1"/>
  <c r="L15" i="1" s="1"/>
  <c r="D15" i="3" s="1"/>
  <c r="S14" i="1"/>
  <c r="T14" i="1" s="1"/>
  <c r="K14" i="1"/>
  <c r="C14" i="3" s="1"/>
  <c r="S13" i="1"/>
  <c r="T13" i="1" s="1"/>
  <c r="K13" i="1"/>
  <c r="L13" i="1" s="1"/>
  <c r="D13" i="3" s="1"/>
  <c r="S12" i="1"/>
  <c r="T12" i="1" s="1"/>
  <c r="K12" i="1"/>
  <c r="C12" i="3" s="1"/>
  <c r="S11" i="1"/>
  <c r="T11" i="1" s="1"/>
  <c r="L11" i="1"/>
  <c r="D11" i="3" s="1"/>
  <c r="S10" i="1"/>
  <c r="T10" i="1" s="1"/>
  <c r="K10" i="1"/>
  <c r="C10" i="3" s="1"/>
  <c r="T9" i="1"/>
  <c r="S9" i="1"/>
  <c r="K9" i="1"/>
  <c r="L9" i="1" s="1"/>
  <c r="D9" i="3" s="1"/>
  <c r="S8" i="1"/>
  <c r="T8" i="1" s="1"/>
  <c r="K8" i="1"/>
  <c r="C8" i="3" s="1"/>
  <c r="T7" i="1"/>
  <c r="S7" i="1"/>
  <c r="K7" i="1"/>
  <c r="L7" i="1" s="1"/>
  <c r="D7" i="3" s="1"/>
  <c r="S6" i="1"/>
  <c r="T6" i="1" s="1"/>
  <c r="K6" i="1"/>
  <c r="C6" i="3" s="1"/>
  <c r="T5" i="1"/>
  <c r="S5" i="1"/>
  <c r="K5" i="1"/>
  <c r="L5" i="1" s="1"/>
  <c r="D5" i="3" s="1"/>
  <c r="S4" i="1"/>
  <c r="T4" i="1" s="1"/>
  <c r="K4" i="1"/>
  <c r="C4" i="3" s="1"/>
  <c r="T3" i="1"/>
  <c r="S3" i="1"/>
  <c r="K3" i="1"/>
  <c r="L3" i="1" s="1"/>
  <c r="D3" i="3" s="1"/>
  <c r="S2" i="1"/>
  <c r="T2" i="1" s="1"/>
  <c r="K2" i="1"/>
  <c r="C2" i="3" s="1"/>
  <c r="C3" i="3" l="1"/>
  <c r="C5" i="3"/>
  <c r="C7" i="3"/>
  <c r="C9" i="3"/>
  <c r="C13" i="3"/>
  <c r="C15" i="3"/>
  <c r="L12" i="1"/>
  <c r="D12" i="3" s="1"/>
  <c r="L14" i="1"/>
  <c r="D14" i="3" s="1"/>
  <c r="L16" i="1"/>
  <c r="L2" i="1"/>
  <c r="D2" i="3" s="1"/>
  <c r="L4" i="1"/>
  <c r="D4" i="3" s="1"/>
  <c r="L6" i="1"/>
  <c r="D6" i="3" s="1"/>
  <c r="L8" i="1"/>
  <c r="D8" i="3" s="1"/>
  <c r="L10" i="1"/>
  <c r="D10" i="3" s="1"/>
</calcChain>
</file>

<file path=xl/sharedStrings.xml><?xml version="1.0" encoding="utf-8"?>
<sst xmlns="http://schemas.openxmlformats.org/spreadsheetml/2006/main" count="449" uniqueCount="230">
  <si>
    <t>Risk ID</t>
  </si>
  <si>
    <t>Risk Title</t>
  </si>
  <si>
    <t>Inherent Risk Score</t>
  </si>
  <si>
    <t>Treatment Strategy</t>
  </si>
  <si>
    <t>Inherent Risk Level</t>
  </si>
  <si>
    <t>Asset ID</t>
  </si>
  <si>
    <t>Treatment Actions</t>
  </si>
  <si>
    <t>Asset / Process</t>
  </si>
  <si>
    <t>Risk Description</t>
  </si>
  <si>
    <t>Risk Owner</t>
  </si>
  <si>
    <t>Threat</t>
  </si>
  <si>
    <t>Priority</t>
  </si>
  <si>
    <t>Vulnerability / Weakness</t>
  </si>
  <si>
    <t>Treatment Status</t>
  </si>
  <si>
    <t>Target Date</t>
  </si>
  <si>
    <t>Existing Controls</t>
  </si>
  <si>
    <t>Residual Likelihood</t>
  </si>
  <si>
    <t>Likelihood</t>
  </si>
  <si>
    <t>Status</t>
  </si>
  <si>
    <t>Residual Impact</t>
  </si>
  <si>
    <t>Impact</t>
  </si>
  <si>
    <t>Evidence / Validation</t>
  </si>
  <si>
    <t>Residual Risk Score</t>
  </si>
  <si>
    <t>Completion Criteria</t>
  </si>
  <si>
    <t xml:space="preserve">Resdidual Risk Level </t>
  </si>
  <si>
    <t>Risk Acceptance / Decision</t>
  </si>
  <si>
    <t>Monitoring Requirements</t>
  </si>
  <si>
    <t>Residual Risk Level</t>
  </si>
  <si>
    <t>R-001</t>
  </si>
  <si>
    <t>Unauthorized Access to Customer &amp; Patient Data</t>
  </si>
  <si>
    <t>AST-001</t>
  </si>
  <si>
    <t>Customer &amp; Patient Data Repository</t>
  </si>
  <si>
    <t>Unauthorized access to sensitive customer and patient-related information could result in data exposure, privacy violations, regulatory consequences, and loss of customer trust.</t>
  </si>
  <si>
    <t>Compromised credentials, malicious insider activity, or unauthorized user access</t>
  </si>
  <si>
    <t>Excessive access privileges, insufficient access reviews, or weaknesses in authentication and authorization controls</t>
  </si>
  <si>
    <t>Role-based access control; MFA; least-privilege principles; access reviews; identity lifecycle management; security logging</t>
  </si>
  <si>
    <t>Mitigate</t>
  </si>
  <si>
    <t>Strengthen role-based access controls; perform periodic privileged-access reviews; enforce MFA for all administrative access; monitor anomalous access activity; remove unnecessary permissions</t>
  </si>
  <si>
    <t>CISO</t>
  </si>
  <si>
    <t>Critical</t>
  </si>
  <si>
    <t>Planned</t>
  </si>
  <si>
    <t>Access review records; MFA configuration evidence; privileged-access reports; security monitoring records</t>
  </si>
  <si>
    <t>Privileged access is reviewed periodically; MFA is enforced for administrative access; unnecessary permissions are removed; anomalous access monitoring is operational</t>
  </si>
  <si>
    <t>R-002</t>
  </si>
  <si>
    <t>Unauthorized Modification of Customer &amp; Patient Data</t>
  </si>
  <si>
    <t>Restrict privileged database access; implement stronger database activity monitoring; review privileged access regularly; strengthen change approval requirements; validate backup integrity through periodic recovery testing</t>
  </si>
  <si>
    <t>High</t>
  </si>
  <si>
    <t>In Progress</t>
  </si>
  <si>
    <t>Database access reviews; database activity monitoring records; approved change records; backup recovery test results</t>
  </si>
  <si>
    <t>Privileged database access is restricted and reviewed; database activity monitoring is operational; changes require appropriate approval; backup recovery is periodically tested</t>
  </si>
  <si>
    <t>R-003</t>
  </si>
  <si>
    <t>Customer Web Application Compromise</t>
  </si>
  <si>
    <t>Strengthen secure SDLC requirements; perform recurring application security testing; prioritize remediation of critical vulnerabilities; implement security-focused code reviews; monitor application activity for indicators of compromise</t>
  </si>
  <si>
    <t>VP Engineering</t>
  </si>
  <si>
    <t>Application security testing reports; vulnerability remediation records; code review records; secure SDLC documentation; application monitoring alerts</t>
  </si>
  <si>
    <t>Recurring application security testing is established; critical vulnerabilities are remediated within defined timelines; security-focused code reviews are implemented; application monitoring is operational</t>
  </si>
  <si>
    <t>R-004</t>
  </si>
  <si>
    <t>API Security / Unauthorized Access</t>
  </si>
  <si>
    <t>Strengthen API authentication and authorization; implement consistent input validation; perform recurring API security testing; review exposed endpoints; monitor API activity for suspicious behavior</t>
  </si>
  <si>
    <t>API security testing reports; authentication and authorization configurations; endpoint reviews; vulnerability remediation records; API monitoring logs</t>
  </si>
  <si>
    <t>Critical API vulnerabilities are remediated; authentication and authorization controls are validated; exposed endpoints are reviewed; API security monitoring is operational</t>
  </si>
  <si>
    <t>R-005</t>
  </si>
  <si>
    <t>Cloud Misconfiguration</t>
  </si>
  <si>
    <t>Residual risk requires continued monitoring and risk-owner oversight</t>
  </si>
  <si>
    <t>Implement continuous cloud configuration monitoring; review security-group rules and IAM permissions; remove unnecessary public exposure; establish configuration baselines; remediate high-risk configuration findings</t>
  </si>
  <si>
    <t>Periodic privileged-access reviews; MFA compliance monitoring; anomalous access monitoring; review of unnecessary permissions</t>
  </si>
  <si>
    <t>CTO</t>
  </si>
  <si>
    <t>Cloud configuration assessment reports; IAM and security-group reviews; configuration baseline records; remediation tracking</t>
  </si>
  <si>
    <t>Critical cloud misconfigurations are remediated; configuration monitoring is operational; IAM and network permissions are reviewed periodically; approved security baselines are established</t>
  </si>
  <si>
    <t>R-006</t>
  </si>
  <si>
    <t>Account Compromise / Excessive Privileges</t>
  </si>
  <si>
    <t>Enforce MFA across critical systems; strengthen privileged-access controls; perform periodic access reviews; remove stale accounts and unnecessary permissions; monitor authentication activity for anomalous behavior</t>
  </si>
  <si>
    <t>Implemented</t>
  </si>
  <si>
    <t>MFA configuration records; privileged-access reviews; account lifecycle records; access-remediation records; authentication monitoring logs</t>
  </si>
  <si>
    <t>MFA is enforced for critical systems; privileged access is reviewed periodically; stale accounts and unnecessary permissions are removed; anomalous authentication monitoring is operational</t>
  </si>
  <si>
    <t>R-007</t>
  </si>
  <si>
    <t>Insufficient Security Monitoring</t>
  </si>
  <si>
    <t>Expand monitoring coverage for critical systems; improve security alerting and correlation; establish monitoring use cases for high-risk events; tune alert thresholds; conduct periodic log-source and detection reviews</t>
  </si>
  <si>
    <t>Monitoring coverage reports; security detection rules; alert configuration records; log-source reviews; detection testing results</t>
  </si>
  <si>
    <t>Critical systems have appropriate log coverage; high-risk monitoring use cases are implemented; alerting is tuned; detection coverage is periodically reviewed and tested</t>
  </si>
  <si>
    <t>R-008</t>
  </si>
  <si>
    <t>Backup Failure / Recovery Failure</t>
  </si>
  <si>
    <t>Monitor backup jobs and failures; protect backups against unauthorized modification or deletion; perform periodic restoration testing; validate backup coverage for critical systems; document and test recovery procedures</t>
  </si>
  <si>
    <t>COO</t>
  </si>
  <si>
    <t>Backup job reports; backup failure alerts; backup access-control reviews; restoration test results; recovery procedure documentation</t>
  </si>
  <si>
    <t>Unauthorized or improper modification of customer and patient-related data could compromise data integrity, disrupt healthcare workflows, and result in incorrect or unreliable information being used by customers or internal personnel.</t>
  </si>
  <si>
    <t>Backup coverage validated for critical systems; backup failures are monitored and addressed; backups are protected from unauthorized modification or deletion; restoration testing is performed periodically; recovery procedures are documented and tested</t>
  </si>
  <si>
    <t>Database activity monitoring; privileged-access reviews; change-approval monitoring; backup integrity and recovery testing</t>
  </si>
  <si>
    <t>Malicious insider activity, compromised privileged account, or unauthorized application activity</t>
  </si>
  <si>
    <t>Excessive database privileges, inadequate change controls, insufficient monitoring of data modifications, or weak separation of duties</t>
  </si>
  <si>
    <t>Role-based access control; least privilege; change management; database access restrictions; audit logging; backup and recovery procedures</t>
  </si>
  <si>
    <t>R-009</t>
  </si>
  <si>
    <t>Endpoint Compromise</t>
  </si>
  <si>
    <t>Strengthen endpoint protection policies; enforce timely security patching; monitor endpoint security alerts; restrict unauthorized software; improve phishing resistance and security awareness; review endpoint compliance regularly</t>
  </si>
  <si>
    <t>Endpoint security configuration records; patch compliance reports; EDR alert records; software-control policies; security awareness records; endpoint compliance reports</t>
  </si>
  <si>
    <t>Endpoint protection is consistently enforced; critical patches are deployed within defined timelines; unauthorized software is restricted; endpoint alerts are monitored; endpoint compliance is reviewed periodically</t>
  </si>
  <si>
    <t>R-010</t>
  </si>
  <si>
    <t>Unauthorized Source-Code Access</t>
  </si>
  <si>
    <t>Enforce least-privilege repository permissions; strengthen branch protection; conduct periodic access reviews; require MFA; monitor repository activity for suspicious changes or access patterns</t>
  </si>
  <si>
    <t>Repository access reviews; branch protection settings; MFA configuration records; repository audit logs; access-remediation records</t>
  </si>
  <si>
    <t>Repository access follows least privilege; branch protection is enforced; MFA is required; access is reviewed periodically; suspicious repository activity is monitored and investigated</t>
  </si>
  <si>
    <t>AST-002</t>
  </si>
  <si>
    <t>R-011</t>
  </si>
  <si>
    <t>Customer Web Application</t>
  </si>
  <si>
    <t>Unauthorized or Malicious Deployment</t>
  </si>
  <si>
    <t>Exploitation of vulnerabilities in the internet-facing customer application could allow unauthorized access, service disruption, or compromise of sensitive customer information.</t>
  </si>
  <si>
    <t>External attacker exploiting application vulnerabilities</t>
  </si>
  <si>
    <t>Strengthen CI/CD access controls; enforce separation of duties; require approval for production deployments; protect pipeline credentials and secrets; implement deployment monitoring and audit trails</t>
  </si>
  <si>
    <t>Unpatched software, insecure application configurations, coding vulnerabilities, or inadequate security testing</t>
  </si>
  <si>
    <t>Residual risk requires continued treatment, monitoring, and risk-owner oversight</t>
  </si>
  <si>
    <t>Secure development practices; vulnerability management; code review; change management; access controls; security monitoring</t>
  </si>
  <si>
    <t>Recurring application security testing; critical vulnerability remediation tracking; secure code reviews; application security monitoring; indicators-of-compromise monitoring</t>
  </si>
  <si>
    <t>CI/CD access reviews; deployment approval records; pipeline configuration; secrets-management records; deployment audit logs</t>
  </si>
  <si>
    <t>CI/CD access follows least privilege; production deployments require appropriate approval; separation of duties is enforced; pipeline credentials are protected; deployment activity is logged and monitored</t>
  </si>
  <si>
    <t>R-012</t>
  </si>
  <si>
    <t>Credential / Secret Exposure</t>
  </si>
  <si>
    <t>Enforce centralized secrets management; prohibit hardcoded credentials; strengthen access controls; implement automated secret rotation; monitor secret access; periodically review privileged credentials</t>
  </si>
  <si>
    <t>Secrets-management configuration; credential-access reviews; secret rotation records; code-scanning results; privileged credential reviews; secret-access logs</t>
  </si>
  <si>
    <t>Centralized secrets management is enforced; hardcoded credentials are prohibited and monitored; privileged credentials are reviewed periodically; automated rotation is implemented; secret access is logged and monitored</t>
  </si>
  <si>
    <t>R-013</t>
  </si>
  <si>
    <t>Third-Party Security Risk</t>
  </si>
  <si>
    <t>Strengthen third-party due diligence; classify vendors by risk; require appropriate security and incident-notification provisions; conduct periodic reassessments; track remediation of identified vendor risks</t>
  </si>
  <si>
    <t>AST-003</t>
  </si>
  <si>
    <t>Applicaion Layer</t>
  </si>
  <si>
    <t>Inadequate API security could allow unauthorized access to application functions or data, resulting in data exposure, service disruption, or abuse of application capabilities.</t>
  </si>
  <si>
    <t>External attacker exploiting API vulnerabilities or compromised credentials</t>
  </si>
  <si>
    <t>Weak authentication or authorization controls, insufficient input validation, insecure API configurations, or inadequate API security testing</t>
  </si>
  <si>
    <t>Vendor security assessments; risk classifications; completed due-diligence records; contractual security requirements; vendor reassessment records; remediation tracking</t>
  </si>
  <si>
    <t>API authentication and authorization; input validation; access controls; secure development practices; logging and monitoring; vulnerability management</t>
  </si>
  <si>
    <t>Vendors are risk-classified; appropriate due diligence is completed; security and incident-notification requirements are documented; high-risk vendors are reassessed periodically; identified vendor risks are tracked through remediation</t>
  </si>
  <si>
    <t>R-014</t>
  </si>
  <si>
    <t>API security testing; authentication and authorization reviews; exposed-endpoint reviews; vulnerability remediation tracking; API activity monitoring</t>
  </si>
  <si>
    <t>Delayed Vulnerability Remediation</t>
  </si>
  <si>
    <t>Establish risk-based remediation timelines; prioritize critical and exploitable vulnerabilities; improve asset coverage; track remediation through defined ownership and escalation; report overdue vulnerabilities to leadership</t>
  </si>
  <si>
    <t>Vulnerability assessment reports; remediation tracking records; asset coverage reports; remediation SLA records; overdue vulnerability reports</t>
  </si>
  <si>
    <t>Risk-based remediation timelines are established; critical and exploitable vulnerabilities receive priority; asset coverage is monitored; overdue remediation is escalated; vulnerability status is reported to leadership</t>
  </si>
  <si>
    <t>R-015</t>
  </si>
  <si>
    <t>Customer Information Exposure</t>
  </si>
  <si>
    <t>Restrict access to customer records based on business need; conduct periodic access reviews; enforce MFA; strengthen data handling requirements; monitor access to sensitive customer information</t>
  </si>
  <si>
    <t>Head of Customer Success</t>
  </si>
  <si>
    <t>Customer-data access reviews; MFA configuration records; data-handling procedures; access-monitoring logs; security awareness records</t>
  </si>
  <si>
    <t>Customer-data access follows business need and least privilege; access is reviewed periodically; MFA is enforced; data-handling requirements are documented; access to sensitive customer information is monitored</t>
  </si>
  <si>
    <t>AST-004</t>
  </si>
  <si>
    <t>AWS Production Evnironment</t>
  </si>
  <si>
    <t>Misconfigured cloud infrastructure or security settings could expose systems or data, enable unauthorized access, or disrupt production services.</t>
  </si>
  <si>
    <t>External attacker exploiting exposed cloud resources or misconfigured services</t>
  </si>
  <si>
    <t>Insecure security-group rules, excessive permissions, publicly exposed resources, configuration drift, or insufficient cloud security monitoring</t>
  </si>
  <si>
    <t>IAM; least privilege; security groups; configuration management; vulnerability management; security monitoring; change management</t>
  </si>
  <si>
    <t>Continuous cloud configuration monitoring; IAM and security-group reviews; configuration baseline reviews; public-exposure monitoring; high-risk configuration remediation tracking</t>
  </si>
  <si>
    <t>AST-005</t>
  </si>
  <si>
    <t>Identity &amp; Access Management</t>
  </si>
  <si>
    <t>Compromise of user or privileged accounts, combined with excessive permissions, could allow unauthorized access to critical systems and sensitive information.</t>
  </si>
  <si>
    <t>Credential theft, phishing, credential stuffing, or malicious insider activity</t>
  </si>
  <si>
    <t>Excessive privileges, weak authentication, stale accounts, inadequate access reviews, or ineffective privileged-access controls</t>
  </si>
  <si>
    <t>MFA; role-based access control; least privilege; identity lifecycle management; access reviews; security logging</t>
  </si>
  <si>
    <t>Residual risk is monitored following implementation of identity and access controls</t>
  </si>
  <si>
    <t>MFA compliance monitoring; privileged-access reviews; stale-account reviews; authentication monitoring; access-remediation tracking</t>
  </si>
  <si>
    <t>AST-006</t>
  </si>
  <si>
    <t>Security Logging &amp; Monitoring</t>
  </si>
  <si>
    <t>Inadequate security logging, monitoring, or alerting could delay detection and response to unauthorized activity, increasing the potential impact of security incidents.</t>
  </si>
  <si>
    <t>Cyber attacker, malicious insider, or unauthorized activity</t>
  </si>
  <si>
    <t>Incomplete log coverage, insufficient alerting, excessive alert noise, inadequate monitoring of critical systems, or delayed investigation</t>
  </si>
  <si>
    <t>Centralized logging; security monitoring; alerting; incident response procedures; access controls; log retention</t>
  </si>
  <si>
    <t>Residual risk is considered manageable with continued monitoring and improvement of detection coverage</t>
  </si>
  <si>
    <t>Log-source coverage reviews; detection-rule reviews; alert tuning; high-risk event monitoring; periodic detection testing</t>
  </si>
  <si>
    <t xml:space="preserve">CISO </t>
  </si>
  <si>
    <t>AST-007</t>
  </si>
  <si>
    <t xml:space="preserve">Backup &amp; Recovery Repository </t>
  </si>
  <si>
    <t>Failure to create, protect, or successfully restore backups could result in permanent or prolonged loss of critical data and extended service disruption following a security incident or system failure.</t>
  </si>
  <si>
    <t>Ransomware, system failure, data corruption, accidental deletion, or cloud service disruption</t>
  </si>
  <si>
    <t>Incomplete backup coverage, failed backup jobs, inadequate backup protection, untested recovery procedures, or insufficient recovery monitoring</t>
  </si>
  <si>
    <t>Automated backups; backup monitoring; access controls; recovery procedures; backup retention; disaster recovery planning</t>
  </si>
  <si>
    <t>Residual risk requires continued treatment, recovery testing, and risk-owner oversight</t>
  </si>
  <si>
    <t>Backup job monitoring; backup failure tracking; restoration testing; backup access reviews; recovery procedure testing</t>
  </si>
  <si>
    <t>AST-008</t>
  </si>
  <si>
    <t>Corporate Endpoint Fleet</t>
  </si>
  <si>
    <t>Compromise of corporate endpoints could provide attackers with unauthorized access to company systems, credentials, sensitive information, or internal resources.</t>
  </si>
  <si>
    <t>Malware, phishing, ransomware, or malicious software</t>
  </si>
  <si>
    <t>Unpatched endpoint software, malicious downloads, weak endpoint configuration, inadequate endpoint protection, or user credential compromise</t>
  </si>
  <si>
    <t>Endpoint security platform; patch management; MFA; device management; security awareness training; access controls</t>
  </si>
  <si>
    <t>Residual risk is considered manageable with continued endpoint monitoring and control maintenance</t>
  </si>
  <si>
    <t>Endpoint protection alerts; patch compliance monitoring; endpoint security reviews; unauthorized software monitoring; periodic endpoint compliance assessments</t>
  </si>
  <si>
    <t>AST-010</t>
  </si>
  <si>
    <t>Source Code Repository</t>
  </si>
  <si>
    <t>Unauthorized access to source code could expose proprietary intellectual property, introduce malicious changes, or provide attackers with information that could facilitate compromise of production systems.</t>
  </si>
  <si>
    <t>Compromised developer account, malicious insider, or unauthorized third party</t>
  </si>
  <si>
    <t>Excessive repository permissions, inadequate access reviews, weak branch protections, or insufficient monitoring of repository activity</t>
  </si>
  <si>
    <t>Role-based repository access; MFA; branch protection; code review; access reviews; audit logging</t>
  </si>
  <si>
    <t>Residual risk is considered manageable with continued repository access monitoring and control maintenance</t>
  </si>
  <si>
    <t>Repository access reviews; branch-protection monitoring; MFA compliance; repository audit logs; periodic review of suspicious access or changes</t>
  </si>
  <si>
    <t>AST-011</t>
  </si>
  <si>
    <t>CI/CD Pipeline</t>
  </si>
  <si>
    <t>Unauthorized or malicious changes introduced through the CI/CD pipeline could result in compromised production systems, service disruption, or deployment of vulnerable code.</t>
  </si>
  <si>
    <t>Compromised developer account, malicious insider, or attacker compromising the deployment pipeline</t>
  </si>
  <si>
    <t>Excessive pipeline permissions, inadequate separation of duties, weak change controls, insecure pipeline configurations, or insufficient deployment validation</t>
  </si>
  <si>
    <t>Change management; code review; branch protection; access controls; deployment logging; testing requirements</t>
  </si>
  <si>
    <t>Residual risk requires continued treatment, deployment-control monitoring, and risk-owner oversight</t>
  </si>
  <si>
    <t>CI/CD access reviews; production deployment approvals; separation-of-duties monitoring; pipeline credential protection; deployment audit logs</t>
  </si>
  <si>
    <t>AST-012</t>
  </si>
  <si>
    <t>Secrets &amp; Credential Store</t>
  </si>
  <si>
    <t>Exposure or unauthorized disclosure of credentials, API keys, tokens, or other secrets could enable attackers to access applications, cloud infrastructure, or sensitive data.</t>
  </si>
  <si>
    <t>Credential theft, accidental disclosure, malicious insider activity, or compromised development environment</t>
  </si>
  <si>
    <t>Hardcoded credentials, excessive access permissions, inadequate secret rotation, accidental disclosure, or insufficient monitoring of secret usage</t>
  </si>
  <si>
    <t>Centralized secrets management; access controls; least privilege; MFA; credential rotation; security monitoring</t>
  </si>
  <si>
    <t>Residual risk requires continued monitoring and periodic validation of secrets-management controls</t>
  </si>
  <si>
    <t>Secret-access monitoring; automated rotation monitoring; privileged credential reviews; code-scanning for exposed secrets; secrets-management configuration reviews</t>
  </si>
  <si>
    <t>AST-15</t>
  </si>
  <si>
    <t>Vendor &amp; Third-Party Records</t>
  </si>
  <si>
    <t>A security weakness or control failure at a third-party provider could expose Northstar systems or data, disrupt critical services, or create compliance and operational risks.</t>
  </si>
  <si>
    <t>Third-party compromise, supply-chain attack, vendor insider threat, or security control failure</t>
  </si>
  <si>
    <t>Incomplete vendor due diligence, insufficient security requirements, inadequate ongoing monitoring, or limited visibility into third-party security controls</t>
  </si>
  <si>
    <t>Vendor security assessments; contractual security requirements; risk classification; access controls; supplier monitoring; incident notification requirements</t>
  </si>
  <si>
    <t>AST-019</t>
  </si>
  <si>
    <t>Vulnerability Management</t>
  </si>
  <si>
    <t>Delayed identification, prioritization, or remediation of security vulnerabilities could leave critical systems exposed to exploitation and increase the likelihood of a security incident.</t>
  </si>
  <si>
    <t>External attacker exploiting known vulnerabilities</t>
  </si>
  <si>
    <t>Residual risk requires continued third-party oversight, reassessment, and remediation tracking</t>
  </si>
  <si>
    <t>Vendor security assessments; risk classification reviews; contractual security requirements; periodic vendor reassessments; vendor remediation tracking</t>
  </si>
  <si>
    <t>Incomplete asset coverage, ineffective vulnerability prioritization, remediation delays, or insufficient tracking and escalation</t>
  </si>
  <si>
    <t>Vulnerability scanning; risk-based prioritization; remediation tracking; patch management; security monitoring; vulnerability reporting</t>
  </si>
  <si>
    <t>AST-020</t>
  </si>
  <si>
    <t>Customer Support &amp; Case Management</t>
  </si>
  <si>
    <t>Unauthorized access to customer support records could expose sensitive customer information, support history, or information submitted during customer interactions.</t>
  </si>
  <si>
    <t>Unauthorized user, compromised account, malicious insider, or third-party access</t>
  </si>
  <si>
    <t>Excessive access permissions, inadequate access reviews, weak authentication, insufficient data protection, or improper handling of customer information</t>
  </si>
  <si>
    <t>Role-based access control; MFA; least privilege; access reviews; security logging; data protection requirements</t>
  </si>
  <si>
    <t>Residual risk is considered manageable with continued vulnerability remediation and escalation of overdue findings</t>
  </si>
  <si>
    <t>Vulnerability remediation tracking; critical-vulnerability monitoring; asset coverage reviews; remediation SLA tracking; overdue vulnerability reporting</t>
  </si>
  <si>
    <t>Residual risk is considered manageable with continued access-control improvements and monitoring</t>
  </si>
  <si>
    <t>Customer-data access reviews; MFA compliance; data-handling reviews; sensitive-data access monitoring; periodic access-control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</si>
</sst>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sqref="A1:XFD1048576"/>
    </sheetView>
  </sheetViews>
  <sheetFormatPr defaultColWidth="12.6640625" defaultRowHeight="13.2" x14ac:dyDescent="0.25"/>
  <cols>
    <col min="1" max="1" width="9.33203125" bestFit="1" customWidth="1"/>
    <col min="3" max="3" width="10.44140625" bestFit="1" customWidth="1"/>
    <col min="4" max="4" width="18.5546875" bestFit="1" customWidth="1"/>
    <col min="5" max="5" width="38.88671875" bestFit="1" customWidth="1"/>
    <col min="6" max="6" width="12.5546875" bestFit="1" customWidth="1"/>
    <col min="7" max="7" width="41" customWidth="1"/>
    <col min="8" max="8" width="36.21875" customWidth="1"/>
    <col min="9" max="9" width="12.109375" bestFit="1" customWidth="1"/>
    <col min="10" max="10" width="9" bestFit="1" customWidth="1"/>
    <col min="11" max="11" width="20.6640625" bestFit="1" customWidth="1"/>
    <col min="12" max="12" width="20.109375" bestFit="1" customWidth="1"/>
    <col min="13" max="13" width="13.33203125" bestFit="1" customWidth="1"/>
    <col min="14" max="14" width="20.33203125" bestFit="1" customWidth="1"/>
    <col min="15" max="15" width="30.21875" bestFit="1" customWidth="1"/>
    <col min="16" max="16" width="13.44140625" bestFit="1" customWidth="1"/>
    <col min="17" max="17" width="12.109375" bestFit="1" customWidth="1"/>
    <col min="18" max="18" width="17.109375" bestFit="1" customWidth="1"/>
    <col min="19" max="19" width="20.88671875" bestFit="1" customWidth="1"/>
    <col min="20" max="20" width="20.33203125" bestFit="1" customWidth="1"/>
  </cols>
  <sheetData>
    <row r="1" spans="1:26" ht="26.4" x14ac:dyDescent="0.25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17</v>
      </c>
      <c r="J1" s="1" t="s">
        <v>20</v>
      </c>
      <c r="K1" s="1" t="s">
        <v>2</v>
      </c>
      <c r="L1" s="1" t="s">
        <v>4</v>
      </c>
      <c r="M1" s="1" t="s">
        <v>9</v>
      </c>
      <c r="N1" s="1" t="s">
        <v>3</v>
      </c>
      <c r="O1" s="1" t="s">
        <v>6</v>
      </c>
      <c r="P1" s="1" t="s">
        <v>14</v>
      </c>
      <c r="Q1" s="1" t="s">
        <v>16</v>
      </c>
      <c r="R1" s="1" t="s">
        <v>19</v>
      </c>
      <c r="S1" s="1" t="s">
        <v>22</v>
      </c>
      <c r="T1" s="1" t="s">
        <v>27</v>
      </c>
      <c r="U1" s="1"/>
      <c r="V1" s="1"/>
      <c r="W1" s="1"/>
      <c r="X1" s="1"/>
      <c r="Y1" s="1"/>
      <c r="Z1" s="1"/>
    </row>
    <row r="2" spans="1:26" ht="92.4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>
        <v>4</v>
      </c>
      <c r="J2" s="2">
        <v>5</v>
      </c>
      <c r="K2" s="2">
        <f t="shared" ref="K2:K10" si="0">IF(OR(I2="",J2=""),"",I2*J2)</f>
        <v>20</v>
      </c>
      <c r="L2" s="2" t="str">
        <f t="shared" ref="L2:L16" si="1">IF(K2="","",IF(K2&lt;=4,"Low",IF(K2&lt;=9,"Moderate",IF(K2&lt;=16,"High","Critical"))))</f>
        <v>Critical</v>
      </c>
      <c r="M2" s="2" t="s">
        <v>38</v>
      </c>
      <c r="N2" s="2" t="s">
        <v>36</v>
      </c>
      <c r="O2" s="2" t="s">
        <v>37</v>
      </c>
      <c r="P2" s="3">
        <v>46387</v>
      </c>
      <c r="Q2" s="2">
        <v>2</v>
      </c>
      <c r="R2" s="2">
        <v>5</v>
      </c>
      <c r="S2" s="2">
        <f t="shared" ref="S2:S16" si="2">IF(OR(Q2="",R2=""),"",Q2*R2)</f>
        <v>10</v>
      </c>
      <c r="T2" s="2" t="str">
        <f t="shared" ref="T2:T16" si="3">IF(S2="","",IF(S2&lt;=4,"Low",IF(S2&lt;=9,"Moderate",IF(S2&lt;=16,"High","Critical"))))</f>
        <v>High</v>
      </c>
      <c r="U2" s="2"/>
      <c r="V2" s="2"/>
      <c r="W2" s="2"/>
      <c r="X2" s="2"/>
      <c r="Y2" s="2"/>
      <c r="Z2" s="2"/>
    </row>
    <row r="3" spans="1:26" ht="118.8" x14ac:dyDescent="0.25">
      <c r="A3" s="2" t="s">
        <v>43</v>
      </c>
      <c r="B3" s="2" t="s">
        <v>44</v>
      </c>
      <c r="C3" s="2" t="s">
        <v>30</v>
      </c>
      <c r="D3" s="2" t="s">
        <v>31</v>
      </c>
      <c r="E3" s="2" t="s">
        <v>85</v>
      </c>
      <c r="F3" s="2" t="s">
        <v>88</v>
      </c>
      <c r="G3" s="2" t="s">
        <v>89</v>
      </c>
      <c r="H3" s="2" t="s">
        <v>90</v>
      </c>
      <c r="I3" s="2">
        <v>3</v>
      </c>
      <c r="J3" s="2">
        <v>5</v>
      </c>
      <c r="K3" s="2">
        <f t="shared" si="0"/>
        <v>15</v>
      </c>
      <c r="L3" s="2" t="str">
        <f t="shared" si="1"/>
        <v>High</v>
      </c>
      <c r="M3" s="2" t="s">
        <v>38</v>
      </c>
      <c r="N3" s="2" t="s">
        <v>36</v>
      </c>
      <c r="O3" s="2" t="s">
        <v>45</v>
      </c>
      <c r="P3" s="3">
        <v>46387</v>
      </c>
      <c r="Q3" s="2">
        <v>2</v>
      </c>
      <c r="R3" s="2">
        <v>5</v>
      </c>
      <c r="S3" s="2">
        <f t="shared" si="2"/>
        <v>10</v>
      </c>
      <c r="T3" s="2" t="str">
        <f t="shared" si="3"/>
        <v>High</v>
      </c>
      <c r="U3" s="2"/>
      <c r="V3" s="2"/>
      <c r="W3" s="2"/>
      <c r="X3" s="2"/>
      <c r="Y3" s="2"/>
      <c r="Z3" s="2"/>
    </row>
    <row r="4" spans="1:26" ht="105.6" x14ac:dyDescent="0.25">
      <c r="A4" s="2" t="s">
        <v>50</v>
      </c>
      <c r="B4" s="2" t="s">
        <v>51</v>
      </c>
      <c r="C4" s="2" t="s">
        <v>101</v>
      </c>
      <c r="D4" s="2" t="s">
        <v>103</v>
      </c>
      <c r="E4" s="2" t="s">
        <v>105</v>
      </c>
      <c r="F4" s="2" t="s">
        <v>106</v>
      </c>
      <c r="G4" s="2" t="s">
        <v>108</v>
      </c>
      <c r="H4" s="2" t="s">
        <v>110</v>
      </c>
      <c r="I4" s="2">
        <v>4</v>
      </c>
      <c r="J4" s="2">
        <v>5</v>
      </c>
      <c r="K4" s="2">
        <f t="shared" si="0"/>
        <v>20</v>
      </c>
      <c r="L4" s="2" t="str">
        <f t="shared" si="1"/>
        <v>Critical</v>
      </c>
      <c r="M4" s="2" t="s">
        <v>53</v>
      </c>
      <c r="N4" s="2" t="s">
        <v>36</v>
      </c>
      <c r="O4" s="2" t="s">
        <v>52</v>
      </c>
      <c r="P4" s="3">
        <v>46387</v>
      </c>
      <c r="Q4" s="2">
        <v>2</v>
      </c>
      <c r="R4" s="2">
        <v>5</v>
      </c>
      <c r="S4" s="2">
        <f t="shared" si="2"/>
        <v>10</v>
      </c>
      <c r="T4" s="2" t="str">
        <f t="shared" si="3"/>
        <v>High</v>
      </c>
      <c r="U4" s="2"/>
      <c r="V4" s="2"/>
      <c r="W4" s="2"/>
      <c r="X4" s="2"/>
      <c r="Y4" s="2"/>
      <c r="Z4" s="2"/>
    </row>
    <row r="5" spans="1:26" ht="92.4" x14ac:dyDescent="0.25">
      <c r="A5" s="2" t="s">
        <v>56</v>
      </c>
      <c r="B5" s="2" t="s">
        <v>57</v>
      </c>
      <c r="C5" s="2" t="s">
        <v>122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128</v>
      </c>
      <c r="I5" s="2">
        <v>4</v>
      </c>
      <c r="J5" s="2">
        <v>5</v>
      </c>
      <c r="K5" s="2">
        <f t="shared" si="0"/>
        <v>20</v>
      </c>
      <c r="L5" s="2" t="str">
        <f t="shared" si="1"/>
        <v>Critical</v>
      </c>
      <c r="M5" s="2" t="s">
        <v>53</v>
      </c>
      <c r="N5" s="2" t="s">
        <v>36</v>
      </c>
      <c r="O5" s="2" t="s">
        <v>58</v>
      </c>
      <c r="P5" s="3">
        <v>46387</v>
      </c>
      <c r="Q5" s="2">
        <v>2</v>
      </c>
      <c r="R5" s="2">
        <v>5</v>
      </c>
      <c r="S5" s="2">
        <f t="shared" si="2"/>
        <v>10</v>
      </c>
      <c r="T5" s="2" t="str">
        <f t="shared" si="3"/>
        <v>High</v>
      </c>
      <c r="U5" s="2"/>
      <c r="V5" s="2"/>
      <c r="W5" s="2"/>
      <c r="X5" s="2"/>
      <c r="Y5" s="2"/>
      <c r="Z5" s="2"/>
    </row>
    <row r="6" spans="1:26" ht="92.4" x14ac:dyDescent="0.25">
      <c r="A6" s="2" t="s">
        <v>61</v>
      </c>
      <c r="B6" s="2" t="s">
        <v>62</v>
      </c>
      <c r="C6" s="2" t="s">
        <v>142</v>
      </c>
      <c r="D6" s="2" t="s">
        <v>143</v>
      </c>
      <c r="E6" s="2" t="s">
        <v>144</v>
      </c>
      <c r="F6" s="2" t="s">
        <v>145</v>
      </c>
      <c r="G6" s="2" t="s">
        <v>146</v>
      </c>
      <c r="H6" s="2" t="s">
        <v>147</v>
      </c>
      <c r="I6" s="2">
        <v>4</v>
      </c>
      <c r="J6" s="2">
        <v>5</v>
      </c>
      <c r="K6" s="2">
        <f t="shared" si="0"/>
        <v>20</v>
      </c>
      <c r="L6" s="2" t="str">
        <f t="shared" si="1"/>
        <v>Critical</v>
      </c>
      <c r="M6" s="2" t="s">
        <v>66</v>
      </c>
      <c r="N6" s="2" t="s">
        <v>36</v>
      </c>
      <c r="O6" s="2" t="s">
        <v>64</v>
      </c>
      <c r="P6" s="3">
        <v>46387</v>
      </c>
      <c r="Q6" s="2">
        <v>2</v>
      </c>
      <c r="R6" s="2">
        <v>5</v>
      </c>
      <c r="S6" s="2">
        <f t="shared" si="2"/>
        <v>10</v>
      </c>
      <c r="T6" s="2" t="str">
        <f t="shared" si="3"/>
        <v>High</v>
      </c>
      <c r="U6" s="2"/>
      <c r="V6" s="2"/>
      <c r="W6" s="2"/>
      <c r="X6" s="2"/>
      <c r="Y6" s="2"/>
      <c r="Z6" s="2"/>
    </row>
    <row r="7" spans="1:26" ht="92.4" x14ac:dyDescent="0.25">
      <c r="A7" s="2" t="s">
        <v>69</v>
      </c>
      <c r="B7" s="2" t="s">
        <v>70</v>
      </c>
      <c r="C7" s="2" t="s">
        <v>149</v>
      </c>
      <c r="D7" s="2" t="s">
        <v>150</v>
      </c>
      <c r="E7" s="2" t="s">
        <v>151</v>
      </c>
      <c r="F7" s="2" t="s">
        <v>152</v>
      </c>
      <c r="G7" s="2" t="s">
        <v>153</v>
      </c>
      <c r="H7" s="2" t="s">
        <v>154</v>
      </c>
      <c r="I7" s="2">
        <v>4</v>
      </c>
      <c r="J7" s="2">
        <v>5</v>
      </c>
      <c r="K7" s="2">
        <f t="shared" si="0"/>
        <v>20</v>
      </c>
      <c r="L7" s="2" t="str">
        <f t="shared" si="1"/>
        <v>Critical</v>
      </c>
      <c r="M7" s="2" t="s">
        <v>38</v>
      </c>
      <c r="N7" s="2" t="s">
        <v>36</v>
      </c>
      <c r="O7" s="2" t="s">
        <v>71</v>
      </c>
      <c r="P7" s="3">
        <v>46387</v>
      </c>
      <c r="Q7" s="2">
        <v>2</v>
      </c>
      <c r="R7" s="2">
        <v>5</v>
      </c>
      <c r="S7" s="2">
        <f t="shared" si="2"/>
        <v>10</v>
      </c>
      <c r="T7" s="2" t="str">
        <f t="shared" si="3"/>
        <v>High</v>
      </c>
      <c r="U7" s="2"/>
      <c r="V7" s="2"/>
      <c r="W7" s="2"/>
      <c r="X7" s="2"/>
      <c r="Y7" s="2"/>
      <c r="Z7" s="2"/>
    </row>
    <row r="8" spans="1:26" ht="92.4" x14ac:dyDescent="0.25">
      <c r="A8" s="2" t="s">
        <v>75</v>
      </c>
      <c r="B8" s="2" t="s">
        <v>76</v>
      </c>
      <c r="C8" s="2" t="s">
        <v>157</v>
      </c>
      <c r="D8" s="2" t="s">
        <v>158</v>
      </c>
      <c r="E8" s="2" t="s">
        <v>159</v>
      </c>
      <c r="F8" s="2" t="s">
        <v>160</v>
      </c>
      <c r="G8" s="2" t="s">
        <v>161</v>
      </c>
      <c r="H8" s="2" t="s">
        <v>162</v>
      </c>
      <c r="I8" s="2">
        <v>3</v>
      </c>
      <c r="J8" s="2">
        <v>4</v>
      </c>
      <c r="K8" s="2">
        <f t="shared" si="0"/>
        <v>12</v>
      </c>
      <c r="L8" s="2" t="str">
        <f t="shared" si="1"/>
        <v>High</v>
      </c>
      <c r="M8" s="2" t="s">
        <v>165</v>
      </c>
      <c r="N8" s="2" t="s">
        <v>36</v>
      </c>
      <c r="O8" s="2" t="s">
        <v>77</v>
      </c>
      <c r="P8" s="3">
        <v>46387</v>
      </c>
      <c r="Q8" s="2">
        <v>2</v>
      </c>
      <c r="R8" s="2">
        <v>4</v>
      </c>
      <c r="S8" s="2">
        <f t="shared" si="2"/>
        <v>8</v>
      </c>
      <c r="T8" s="2" t="str">
        <f t="shared" si="3"/>
        <v>Moderate</v>
      </c>
      <c r="U8" s="2"/>
      <c r="V8" s="2"/>
      <c r="W8" s="2"/>
      <c r="X8" s="2"/>
      <c r="Y8" s="2"/>
      <c r="Z8" s="2"/>
    </row>
    <row r="9" spans="1:26" ht="105.6" x14ac:dyDescent="0.25">
      <c r="A9" s="2" t="s">
        <v>80</v>
      </c>
      <c r="B9" s="2" t="s">
        <v>81</v>
      </c>
      <c r="C9" s="2" t="s">
        <v>166</v>
      </c>
      <c r="D9" s="2" t="s">
        <v>167</v>
      </c>
      <c r="E9" s="2" t="s">
        <v>168</v>
      </c>
      <c r="F9" s="2" t="s">
        <v>169</v>
      </c>
      <c r="G9" s="2" t="s">
        <v>170</v>
      </c>
      <c r="H9" s="2" t="s">
        <v>171</v>
      </c>
      <c r="I9" s="2">
        <v>3</v>
      </c>
      <c r="J9" s="2">
        <v>5</v>
      </c>
      <c r="K9" s="2">
        <f t="shared" si="0"/>
        <v>15</v>
      </c>
      <c r="L9" s="2" t="str">
        <f t="shared" si="1"/>
        <v>High</v>
      </c>
      <c r="M9" s="2" t="s">
        <v>83</v>
      </c>
      <c r="N9" s="2" t="s">
        <v>36</v>
      </c>
      <c r="O9" s="2" t="s">
        <v>82</v>
      </c>
      <c r="P9" s="3">
        <v>46387</v>
      </c>
      <c r="Q9" s="2">
        <v>2</v>
      </c>
      <c r="R9" s="2">
        <v>5</v>
      </c>
      <c r="S9" s="2">
        <f t="shared" si="2"/>
        <v>10</v>
      </c>
      <c r="T9" s="2" t="str">
        <f t="shared" si="3"/>
        <v>High</v>
      </c>
      <c r="U9" s="2"/>
      <c r="V9" s="2"/>
      <c r="W9" s="2"/>
      <c r="X9" s="2"/>
      <c r="Y9" s="2"/>
      <c r="Z9" s="2"/>
    </row>
    <row r="10" spans="1:26" ht="105.6" x14ac:dyDescent="0.25">
      <c r="A10" s="2" t="s">
        <v>91</v>
      </c>
      <c r="B10" s="2" t="s">
        <v>92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2" t="s">
        <v>179</v>
      </c>
      <c r="I10" s="2">
        <v>4</v>
      </c>
      <c r="J10" s="2">
        <v>4</v>
      </c>
      <c r="K10" s="2">
        <f t="shared" si="0"/>
        <v>16</v>
      </c>
      <c r="L10" s="2" t="str">
        <f t="shared" si="1"/>
        <v>High</v>
      </c>
      <c r="M10" s="2" t="s">
        <v>83</v>
      </c>
      <c r="N10" s="2" t="s">
        <v>36</v>
      </c>
      <c r="O10" s="2" t="s">
        <v>93</v>
      </c>
      <c r="P10" s="3">
        <v>46387</v>
      </c>
      <c r="Q10" s="2">
        <v>2</v>
      </c>
      <c r="R10" s="2">
        <v>4</v>
      </c>
      <c r="S10" s="2">
        <f t="shared" si="2"/>
        <v>8</v>
      </c>
      <c r="T10" s="2" t="str">
        <f t="shared" si="3"/>
        <v>Moderate</v>
      </c>
      <c r="U10" s="2"/>
      <c r="V10" s="2"/>
      <c r="W10" s="2"/>
      <c r="X10" s="2"/>
      <c r="Y10" s="2"/>
      <c r="Z10" s="2"/>
    </row>
    <row r="11" spans="1:26" ht="92.4" x14ac:dyDescent="0.25">
      <c r="A11" s="2" t="s">
        <v>96</v>
      </c>
      <c r="B11" s="2" t="s">
        <v>97</v>
      </c>
      <c r="C11" s="2" t="s">
        <v>182</v>
      </c>
      <c r="D11" s="2" t="s">
        <v>183</v>
      </c>
      <c r="E11" s="2" t="s">
        <v>184</v>
      </c>
      <c r="F11" s="2" t="s">
        <v>185</v>
      </c>
      <c r="G11" s="2" t="s">
        <v>186</v>
      </c>
      <c r="H11" s="2" t="s">
        <v>187</v>
      </c>
      <c r="I11" s="2">
        <v>3</v>
      </c>
      <c r="J11" s="2">
        <v>4</v>
      </c>
      <c r="K11" s="2">
        <v>12</v>
      </c>
      <c r="L11" s="2" t="str">
        <f t="shared" si="1"/>
        <v>High</v>
      </c>
      <c r="M11" s="2" t="s">
        <v>53</v>
      </c>
      <c r="N11" s="2" t="s">
        <v>36</v>
      </c>
      <c r="O11" s="2" t="s">
        <v>98</v>
      </c>
      <c r="P11" s="3">
        <v>46387</v>
      </c>
      <c r="Q11" s="2">
        <v>2</v>
      </c>
      <c r="R11" s="2">
        <v>4</v>
      </c>
      <c r="S11" s="2">
        <f t="shared" si="2"/>
        <v>8</v>
      </c>
      <c r="T11" s="2" t="str">
        <f t="shared" si="3"/>
        <v>Moderate</v>
      </c>
      <c r="U11" s="2"/>
      <c r="V11" s="2"/>
      <c r="W11" s="2"/>
      <c r="X11" s="2"/>
      <c r="Y11" s="2"/>
      <c r="Z11" s="2"/>
    </row>
    <row r="12" spans="1:26" ht="132" x14ac:dyDescent="0.25">
      <c r="A12" s="2" t="s">
        <v>102</v>
      </c>
      <c r="B12" s="2" t="s">
        <v>104</v>
      </c>
      <c r="C12" s="2" t="s">
        <v>190</v>
      </c>
      <c r="D12" s="2" t="s">
        <v>191</v>
      </c>
      <c r="E12" s="2" t="s">
        <v>192</v>
      </c>
      <c r="F12" s="2" t="s">
        <v>193</v>
      </c>
      <c r="G12" s="2" t="s">
        <v>194</v>
      </c>
      <c r="H12" s="2" t="s">
        <v>195</v>
      </c>
      <c r="I12" s="2">
        <v>3</v>
      </c>
      <c r="J12" s="2">
        <v>5</v>
      </c>
      <c r="K12" s="2">
        <f t="shared" ref="K12:K16" si="4">IF(OR(I12="",J12=""),"",I12*J12)</f>
        <v>15</v>
      </c>
      <c r="L12" s="2" t="str">
        <f t="shared" si="1"/>
        <v>High</v>
      </c>
      <c r="M12" s="2" t="s">
        <v>53</v>
      </c>
      <c r="N12" s="2" t="s">
        <v>36</v>
      </c>
      <c r="O12" s="2" t="s">
        <v>107</v>
      </c>
      <c r="P12" s="3">
        <v>46387</v>
      </c>
      <c r="Q12" s="2">
        <v>2</v>
      </c>
      <c r="R12" s="2">
        <v>5</v>
      </c>
      <c r="S12" s="2">
        <f t="shared" si="2"/>
        <v>10</v>
      </c>
      <c r="T12" s="2" t="str">
        <f t="shared" si="3"/>
        <v>High</v>
      </c>
      <c r="U12" s="2"/>
      <c r="V12" s="2"/>
      <c r="W12" s="2"/>
      <c r="X12" s="2"/>
      <c r="Y12" s="2"/>
      <c r="Z12" s="2"/>
    </row>
    <row r="13" spans="1:26" ht="132" x14ac:dyDescent="0.25">
      <c r="A13" s="2" t="s">
        <v>114</v>
      </c>
      <c r="B13" s="2" t="s">
        <v>115</v>
      </c>
      <c r="C13" s="2" t="s">
        <v>198</v>
      </c>
      <c r="D13" s="2" t="s">
        <v>199</v>
      </c>
      <c r="E13" s="2" t="s">
        <v>200</v>
      </c>
      <c r="F13" s="2" t="s">
        <v>201</v>
      </c>
      <c r="G13" s="2" t="s">
        <v>202</v>
      </c>
      <c r="H13" s="2" t="s">
        <v>203</v>
      </c>
      <c r="I13" s="2">
        <v>4</v>
      </c>
      <c r="J13" s="2">
        <v>5</v>
      </c>
      <c r="K13" s="2">
        <f t="shared" si="4"/>
        <v>20</v>
      </c>
      <c r="L13" s="2" t="str">
        <f t="shared" si="1"/>
        <v>Critical</v>
      </c>
      <c r="M13" s="2" t="s">
        <v>38</v>
      </c>
      <c r="N13" s="2" t="s">
        <v>36</v>
      </c>
      <c r="O13" s="2" t="s">
        <v>116</v>
      </c>
      <c r="P13" s="3">
        <v>46387</v>
      </c>
      <c r="Q13" s="2">
        <v>2</v>
      </c>
      <c r="R13" s="2">
        <v>5</v>
      </c>
      <c r="S13" s="2">
        <f t="shared" si="2"/>
        <v>10</v>
      </c>
      <c r="T13" s="2" t="str">
        <f t="shared" si="3"/>
        <v>High</v>
      </c>
      <c r="U13" s="2"/>
      <c r="V13" s="2"/>
      <c r="W13" s="2"/>
      <c r="X13" s="2"/>
      <c r="Y13" s="2"/>
      <c r="Z13" s="2"/>
    </row>
    <row r="14" spans="1:26" ht="92.4" x14ac:dyDescent="0.25">
      <c r="A14" s="2" t="s">
        <v>119</v>
      </c>
      <c r="B14" s="2" t="s">
        <v>120</v>
      </c>
      <c r="C14" s="2" t="s">
        <v>206</v>
      </c>
      <c r="D14" s="2" t="s">
        <v>207</v>
      </c>
      <c r="E14" s="2" t="s">
        <v>208</v>
      </c>
      <c r="F14" s="2" t="s">
        <v>209</v>
      </c>
      <c r="G14" s="2" t="s">
        <v>210</v>
      </c>
      <c r="H14" s="2" t="s">
        <v>211</v>
      </c>
      <c r="I14" s="2">
        <v>3</v>
      </c>
      <c r="J14" s="2">
        <v>5</v>
      </c>
      <c r="K14" s="2">
        <f t="shared" si="4"/>
        <v>15</v>
      </c>
      <c r="L14" s="2" t="str">
        <f t="shared" si="1"/>
        <v>High</v>
      </c>
      <c r="M14" s="2" t="s">
        <v>38</v>
      </c>
      <c r="N14" s="2" t="s">
        <v>36</v>
      </c>
      <c r="O14" s="2" t="s">
        <v>121</v>
      </c>
      <c r="P14" s="3">
        <v>46387</v>
      </c>
      <c r="Q14" s="2">
        <v>2</v>
      </c>
      <c r="R14" s="2">
        <v>5</v>
      </c>
      <c r="S14" s="2">
        <f t="shared" si="2"/>
        <v>10</v>
      </c>
      <c r="T14" s="2" t="str">
        <f t="shared" si="3"/>
        <v>High</v>
      </c>
      <c r="U14" s="2"/>
      <c r="V14" s="2"/>
      <c r="W14" s="2"/>
      <c r="X14" s="2"/>
      <c r="Y14" s="2"/>
      <c r="Z14" s="2"/>
    </row>
    <row r="15" spans="1:26" ht="92.4" x14ac:dyDescent="0.25">
      <c r="A15" s="2" t="s">
        <v>130</v>
      </c>
      <c r="B15" s="2" t="s">
        <v>132</v>
      </c>
      <c r="C15" s="2" t="s">
        <v>212</v>
      </c>
      <c r="D15" s="2" t="s">
        <v>213</v>
      </c>
      <c r="E15" s="2" t="s">
        <v>214</v>
      </c>
      <c r="F15" s="2" t="s">
        <v>215</v>
      </c>
      <c r="G15" s="2" t="s">
        <v>218</v>
      </c>
      <c r="H15" s="2" t="s">
        <v>219</v>
      </c>
      <c r="I15" s="2">
        <v>4</v>
      </c>
      <c r="J15" s="2">
        <v>4</v>
      </c>
      <c r="K15" s="2">
        <f t="shared" si="4"/>
        <v>16</v>
      </c>
      <c r="L15" s="2" t="str">
        <f t="shared" si="1"/>
        <v>High</v>
      </c>
      <c r="M15" s="2" t="s">
        <v>38</v>
      </c>
      <c r="N15" s="2" t="s">
        <v>36</v>
      </c>
      <c r="O15" s="2" t="s">
        <v>133</v>
      </c>
      <c r="P15" s="3">
        <v>46387</v>
      </c>
      <c r="Q15" s="2">
        <v>2</v>
      </c>
      <c r="R15" s="2">
        <v>4</v>
      </c>
      <c r="S15" s="2">
        <f t="shared" si="2"/>
        <v>8</v>
      </c>
      <c r="T15" s="2" t="str">
        <f t="shared" si="3"/>
        <v>Moderate</v>
      </c>
      <c r="U15" s="2"/>
      <c r="V15" s="2"/>
      <c r="W15" s="2"/>
      <c r="X15" s="2"/>
      <c r="Y15" s="2"/>
      <c r="Z15" s="2"/>
    </row>
    <row r="16" spans="1:26" ht="105.6" x14ac:dyDescent="0.25">
      <c r="A16" s="2" t="s">
        <v>136</v>
      </c>
      <c r="B16" s="2" t="s">
        <v>137</v>
      </c>
      <c r="C16" s="2" t="s">
        <v>220</v>
      </c>
      <c r="D16" s="2" t="s">
        <v>221</v>
      </c>
      <c r="E16" s="2" t="s">
        <v>222</v>
      </c>
      <c r="F16" s="2" t="s">
        <v>223</v>
      </c>
      <c r="G16" s="2" t="s">
        <v>224</v>
      </c>
      <c r="H16" s="2" t="s">
        <v>225</v>
      </c>
      <c r="I16" s="2">
        <v>3</v>
      </c>
      <c r="J16" s="2">
        <v>4</v>
      </c>
      <c r="K16" s="2">
        <f t="shared" si="4"/>
        <v>12</v>
      </c>
      <c r="L16" s="2" t="str">
        <f t="shared" si="1"/>
        <v>High</v>
      </c>
      <c r="M16" s="2" t="s">
        <v>139</v>
      </c>
      <c r="N16" s="2" t="s">
        <v>36</v>
      </c>
      <c r="O16" s="2" t="s">
        <v>138</v>
      </c>
      <c r="P16" s="3">
        <v>46387</v>
      </c>
      <c r="Q16" s="2">
        <v>2</v>
      </c>
      <c r="R16" s="2">
        <v>4</v>
      </c>
      <c r="S16" s="2">
        <f t="shared" si="2"/>
        <v>8</v>
      </c>
      <c r="T16" s="2" t="str">
        <f t="shared" si="3"/>
        <v>Moderate</v>
      </c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Z1" xr:uid="{00000000-0009-0000-0000-000000000000}"/>
  <dataValidations count="2">
    <dataValidation type="list" allowBlank="1" showErrorMessage="1" sqref="N2:N16" xr:uid="{00000000-0002-0000-0000-000000000000}">
      <formula1>"Mitigate,Transfer,Avoid,Accept"</formula1>
    </dataValidation>
    <dataValidation type="list" allowBlank="1" showErrorMessage="1" sqref="L2:L16 T2:T16" xr:uid="{00000000-0002-0000-0000-000001000000}">
      <formula1>"Critical,High,Moderate,Low"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sqref="A1:XFD1048576"/>
    </sheetView>
  </sheetViews>
  <sheetFormatPr defaultColWidth="12.6640625" defaultRowHeight="13.2" x14ac:dyDescent="0.25"/>
  <cols>
    <col min="1" max="1" width="9.33203125" bestFit="1" customWidth="1"/>
    <col min="2" max="2" width="14.88671875" bestFit="1" customWidth="1"/>
    <col min="3" max="3" width="12.109375" bestFit="1" customWidth="1"/>
    <col min="4" max="4" width="40.88671875" customWidth="1"/>
    <col min="5" max="5" width="13.33203125" bestFit="1" customWidth="1"/>
    <col min="6" max="6" width="9.6640625" bestFit="1" customWidth="1"/>
    <col min="7" max="7" width="13.44140625" bestFit="1" customWidth="1"/>
    <col min="8" max="8" width="11.21875" bestFit="1" customWidth="1"/>
    <col min="9" max="9" width="24.6640625" customWidth="1"/>
    <col min="10" max="10" width="37" bestFit="1" customWidth="1"/>
  </cols>
  <sheetData>
    <row r="1" spans="1:26" ht="26.4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9</v>
      </c>
      <c r="F1" s="1" t="s">
        <v>11</v>
      </c>
      <c r="G1" s="1" t="s">
        <v>14</v>
      </c>
      <c r="H1" s="1" t="s">
        <v>18</v>
      </c>
      <c r="I1" s="1" t="s">
        <v>21</v>
      </c>
      <c r="J1" s="1" t="s">
        <v>23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6" x14ac:dyDescent="0.25">
      <c r="A2" s="2" t="s">
        <v>28</v>
      </c>
      <c r="B2" s="2" t="s">
        <v>29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46387</v>
      </c>
      <c r="H2" s="2" t="s">
        <v>40</v>
      </c>
      <c r="I2" s="2" t="s">
        <v>41</v>
      </c>
      <c r="J2" s="2" t="s">
        <v>42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6" x14ac:dyDescent="0.25">
      <c r="A3" s="2" t="s">
        <v>43</v>
      </c>
      <c r="B3" s="2" t="s">
        <v>44</v>
      </c>
      <c r="C3" s="2" t="s">
        <v>36</v>
      </c>
      <c r="D3" s="2" t="s">
        <v>45</v>
      </c>
      <c r="E3" s="2" t="s">
        <v>38</v>
      </c>
      <c r="F3" s="2" t="s">
        <v>46</v>
      </c>
      <c r="G3" s="3">
        <v>46387</v>
      </c>
      <c r="H3" s="2" t="s">
        <v>47</v>
      </c>
      <c r="I3" s="2" t="s">
        <v>48</v>
      </c>
      <c r="J3" s="2" t="s">
        <v>49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9.2" x14ac:dyDescent="0.25">
      <c r="A4" s="2" t="s">
        <v>50</v>
      </c>
      <c r="B4" s="2" t="s">
        <v>51</v>
      </c>
      <c r="C4" s="2" t="s">
        <v>36</v>
      </c>
      <c r="D4" s="2" t="s">
        <v>52</v>
      </c>
      <c r="E4" s="2" t="s">
        <v>53</v>
      </c>
      <c r="F4" s="2" t="s">
        <v>39</v>
      </c>
      <c r="G4" s="3">
        <v>46387</v>
      </c>
      <c r="H4" s="2" t="s">
        <v>47</v>
      </c>
      <c r="I4" s="2" t="s">
        <v>54</v>
      </c>
      <c r="J4" s="2" t="s">
        <v>55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9.2" x14ac:dyDescent="0.25">
      <c r="A5" s="2" t="s">
        <v>56</v>
      </c>
      <c r="B5" s="2" t="s">
        <v>57</v>
      </c>
      <c r="C5" s="2" t="s">
        <v>36</v>
      </c>
      <c r="D5" s="2" t="s">
        <v>58</v>
      </c>
      <c r="E5" s="2" t="s">
        <v>53</v>
      </c>
      <c r="F5" s="2" t="s">
        <v>39</v>
      </c>
      <c r="G5" s="3">
        <v>46387</v>
      </c>
      <c r="H5" s="2" t="s">
        <v>40</v>
      </c>
      <c r="I5" s="2" t="s">
        <v>59</v>
      </c>
      <c r="J5" s="2" t="s">
        <v>60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9.2" x14ac:dyDescent="0.25">
      <c r="A6" s="2" t="s">
        <v>61</v>
      </c>
      <c r="B6" s="2" t="s">
        <v>62</v>
      </c>
      <c r="C6" s="2" t="s">
        <v>36</v>
      </c>
      <c r="D6" s="2" t="s">
        <v>64</v>
      </c>
      <c r="E6" s="2" t="s">
        <v>66</v>
      </c>
      <c r="F6" s="2" t="s">
        <v>39</v>
      </c>
      <c r="G6" s="3">
        <v>46387</v>
      </c>
      <c r="H6" s="2" t="s">
        <v>47</v>
      </c>
      <c r="I6" s="2" t="s">
        <v>67</v>
      </c>
      <c r="J6" s="2" t="s">
        <v>68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9.2" x14ac:dyDescent="0.25">
      <c r="A7" s="2" t="s">
        <v>69</v>
      </c>
      <c r="B7" s="2" t="s">
        <v>70</v>
      </c>
      <c r="C7" s="2" t="s">
        <v>36</v>
      </c>
      <c r="D7" s="2" t="s">
        <v>71</v>
      </c>
      <c r="E7" s="2" t="s">
        <v>38</v>
      </c>
      <c r="F7" s="2" t="s">
        <v>39</v>
      </c>
      <c r="G7" s="3">
        <v>46387</v>
      </c>
      <c r="H7" s="2" t="s">
        <v>72</v>
      </c>
      <c r="I7" s="2" t="s">
        <v>73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6" x14ac:dyDescent="0.25">
      <c r="A8" s="2" t="s">
        <v>75</v>
      </c>
      <c r="B8" s="2" t="s">
        <v>76</v>
      </c>
      <c r="C8" s="2" t="s">
        <v>36</v>
      </c>
      <c r="D8" s="2" t="s">
        <v>77</v>
      </c>
      <c r="E8" s="2" t="s">
        <v>38</v>
      </c>
      <c r="F8" s="2" t="s">
        <v>46</v>
      </c>
      <c r="G8" s="3">
        <v>46387</v>
      </c>
      <c r="H8" s="2" t="s">
        <v>72</v>
      </c>
      <c r="I8" s="2" t="s">
        <v>78</v>
      </c>
      <c r="J8" s="2" t="s">
        <v>79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2.4" x14ac:dyDescent="0.25">
      <c r="A9" s="2" t="s">
        <v>80</v>
      </c>
      <c r="B9" s="2" t="s">
        <v>81</v>
      </c>
      <c r="C9" s="2" t="s">
        <v>36</v>
      </c>
      <c r="D9" s="2" t="s">
        <v>82</v>
      </c>
      <c r="E9" s="2" t="s">
        <v>83</v>
      </c>
      <c r="F9" s="2" t="s">
        <v>46</v>
      </c>
      <c r="G9" s="3">
        <v>46387</v>
      </c>
      <c r="H9" s="2" t="s">
        <v>47</v>
      </c>
      <c r="I9" s="2" t="s">
        <v>84</v>
      </c>
      <c r="J9" s="2" t="s">
        <v>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2.4" x14ac:dyDescent="0.25">
      <c r="A10" s="2" t="s">
        <v>91</v>
      </c>
      <c r="B10" s="2" t="s">
        <v>92</v>
      </c>
      <c r="C10" s="2" t="s">
        <v>36</v>
      </c>
      <c r="D10" s="2" t="s">
        <v>93</v>
      </c>
      <c r="E10" s="2" t="s">
        <v>83</v>
      </c>
      <c r="F10" s="2" t="s">
        <v>46</v>
      </c>
      <c r="G10" s="3">
        <v>46387</v>
      </c>
      <c r="H10" s="2" t="s">
        <v>72</v>
      </c>
      <c r="I10" s="2" t="s">
        <v>94</v>
      </c>
      <c r="J10" s="2" t="s">
        <v>95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6" x14ac:dyDescent="0.25">
      <c r="A11" s="2" t="s">
        <v>96</v>
      </c>
      <c r="B11" s="2" t="s">
        <v>97</v>
      </c>
      <c r="C11" s="2" t="s">
        <v>36</v>
      </c>
      <c r="D11" s="2" t="s">
        <v>98</v>
      </c>
      <c r="E11" s="2" t="s">
        <v>53</v>
      </c>
      <c r="F11" s="2" t="s">
        <v>46</v>
      </c>
      <c r="G11" s="3">
        <v>46387</v>
      </c>
      <c r="H11" s="2" t="s">
        <v>47</v>
      </c>
      <c r="I11" s="2" t="s">
        <v>99</v>
      </c>
      <c r="J11" s="2" t="s">
        <v>100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9.2" x14ac:dyDescent="0.25">
      <c r="A12" s="2" t="s">
        <v>102</v>
      </c>
      <c r="B12" s="2" t="s">
        <v>104</v>
      </c>
      <c r="C12" s="2" t="s">
        <v>36</v>
      </c>
      <c r="D12" s="2" t="s">
        <v>107</v>
      </c>
      <c r="E12" s="2" t="s">
        <v>53</v>
      </c>
      <c r="F12" s="2" t="s">
        <v>46</v>
      </c>
      <c r="G12" s="3">
        <v>46387</v>
      </c>
      <c r="H12" s="2" t="s">
        <v>47</v>
      </c>
      <c r="I12" s="2" t="s">
        <v>112</v>
      </c>
      <c r="J12" s="2" t="s">
        <v>113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2.4" x14ac:dyDescent="0.25">
      <c r="A13" s="2" t="s">
        <v>114</v>
      </c>
      <c r="B13" s="2" t="s">
        <v>115</v>
      </c>
      <c r="C13" s="2" t="s">
        <v>36</v>
      </c>
      <c r="D13" s="2" t="s">
        <v>116</v>
      </c>
      <c r="E13" s="2" t="s">
        <v>38</v>
      </c>
      <c r="F13" s="2" t="s">
        <v>39</v>
      </c>
      <c r="G13" s="3">
        <v>46387</v>
      </c>
      <c r="H13" s="2" t="s">
        <v>40</v>
      </c>
      <c r="I13" s="2" t="s">
        <v>117</v>
      </c>
      <c r="J13" s="2" t="s">
        <v>118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05.6" x14ac:dyDescent="0.25">
      <c r="A14" s="2" t="s">
        <v>119</v>
      </c>
      <c r="B14" s="2" t="s">
        <v>120</v>
      </c>
      <c r="C14" s="2" t="s">
        <v>36</v>
      </c>
      <c r="D14" s="2" t="s">
        <v>121</v>
      </c>
      <c r="E14" s="2" t="s">
        <v>38</v>
      </c>
      <c r="F14" s="2" t="s">
        <v>46</v>
      </c>
      <c r="G14" s="3">
        <v>46387</v>
      </c>
      <c r="H14" s="2" t="s">
        <v>40</v>
      </c>
      <c r="I14" s="2" t="s">
        <v>127</v>
      </c>
      <c r="J14" s="2" t="s">
        <v>129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79.2" x14ac:dyDescent="0.25">
      <c r="A15" s="2" t="s">
        <v>130</v>
      </c>
      <c r="B15" s="2" t="s">
        <v>132</v>
      </c>
      <c r="C15" s="2" t="s">
        <v>36</v>
      </c>
      <c r="D15" s="2" t="s">
        <v>133</v>
      </c>
      <c r="E15" s="2" t="s">
        <v>38</v>
      </c>
      <c r="F15" s="2" t="s">
        <v>46</v>
      </c>
      <c r="G15" s="3">
        <v>46387</v>
      </c>
      <c r="H15" s="2" t="s">
        <v>40</v>
      </c>
      <c r="I15" s="2" t="s">
        <v>134</v>
      </c>
      <c r="J15" s="2" t="s">
        <v>135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9.2" x14ac:dyDescent="0.25">
      <c r="A16" s="2" t="s">
        <v>136</v>
      </c>
      <c r="B16" s="2" t="s">
        <v>137</v>
      </c>
      <c r="C16" s="2" t="s">
        <v>36</v>
      </c>
      <c r="D16" s="2" t="s">
        <v>138</v>
      </c>
      <c r="E16" s="2" t="s">
        <v>139</v>
      </c>
      <c r="F16" s="2" t="s">
        <v>46</v>
      </c>
      <c r="G16" s="3">
        <v>46387</v>
      </c>
      <c r="H16" s="2" t="s">
        <v>40</v>
      </c>
      <c r="I16" s="2" t="s">
        <v>140</v>
      </c>
      <c r="J16" s="2" t="s">
        <v>141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Z16" xr:uid="{00000000-0009-0000-0000-000001000000}"/>
  <dataValidations count="3">
    <dataValidation type="list" allowBlank="1" showErrorMessage="1" sqref="C2:C16" xr:uid="{00000000-0002-0000-0100-000000000000}">
      <formula1>"Mitigate,Transfer,Avoid,Accept"</formula1>
    </dataValidation>
    <dataValidation type="list" allowBlank="1" showErrorMessage="1" sqref="H2:H16" xr:uid="{00000000-0002-0000-0100-000001000000}">
      <formula1>"Planned,In Progress,Implemented,Validated,Deferred,Closed"</formula1>
    </dataValidation>
    <dataValidation type="list" allowBlank="1" showErrorMessage="1" sqref="F2:F16" xr:uid="{00000000-0002-0000-0100-000002000000}">
      <formula1>"Critical,High,Moderate,Low"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XFD1"/>
    </sheetView>
  </sheetViews>
  <sheetFormatPr defaultColWidth="12.6640625" defaultRowHeight="13.2" x14ac:dyDescent="0.25"/>
  <cols>
    <col min="1" max="1" width="9.33203125" bestFit="1" customWidth="1"/>
    <col min="2" max="2" width="14.88671875" bestFit="1" customWidth="1"/>
    <col min="3" max="4" width="14.77734375" bestFit="1" customWidth="1"/>
    <col min="5" max="5" width="12.109375" bestFit="1" customWidth="1"/>
    <col min="6" max="6" width="18.44140625" bestFit="1" customWidth="1"/>
    <col min="7" max="7" width="12.109375" bestFit="1" customWidth="1"/>
    <col min="8" max="8" width="10.6640625" bestFit="1" customWidth="1"/>
    <col min="10" max="10" width="16.21875" bestFit="1" customWidth="1"/>
    <col min="11" max="11" width="13.33203125" bestFit="1" customWidth="1"/>
    <col min="12" max="12" width="18.88671875" bestFit="1" customWidth="1"/>
    <col min="13" max="13" width="31.77734375" customWidth="1"/>
  </cols>
  <sheetData>
    <row r="1" spans="1:26" ht="26.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24</v>
      </c>
      <c r="K1" s="1" t="s">
        <v>9</v>
      </c>
      <c r="L1" s="1" t="s">
        <v>25</v>
      </c>
      <c r="M1" s="1" t="s">
        <v>26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2.8" x14ac:dyDescent="0.25">
      <c r="A2" s="2" t="s">
        <v>28</v>
      </c>
      <c r="B2" s="2" t="s">
        <v>29</v>
      </c>
      <c r="C2" s="2">
        <f>IF(A2="","",'Risk-Register'!K2)</f>
        <v>20</v>
      </c>
      <c r="D2" s="2" t="str">
        <f>IF(A2="","",'Risk-Register'!L2)</f>
        <v>Critical</v>
      </c>
      <c r="E2" s="2" t="s">
        <v>36</v>
      </c>
      <c r="F2" s="2" t="s">
        <v>40</v>
      </c>
      <c r="G2" s="2">
        <v>2</v>
      </c>
      <c r="H2" s="2">
        <v>5</v>
      </c>
      <c r="I2" s="2">
        <f t="shared" ref="I2:I16" si="0">IF(OR(G2="",H2=""),"",G2*H2)</f>
        <v>10</v>
      </c>
      <c r="J2" s="2" t="str">
        <f t="shared" ref="J2:J16" si="1">IF(I2="","",IF(I2&lt;=4,"Low",IF(I2&lt;=9,"Moderate",IF(I2&lt;=16,"High","Critical"))))</f>
        <v>High</v>
      </c>
      <c r="K2" s="2" t="s">
        <v>38</v>
      </c>
      <c r="L2" s="2" t="s">
        <v>63</v>
      </c>
      <c r="M2" s="2" t="s">
        <v>65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2.8" x14ac:dyDescent="0.25">
      <c r="A3" s="2" t="s">
        <v>43</v>
      </c>
      <c r="B3" s="2" t="s">
        <v>44</v>
      </c>
      <c r="C3" s="2">
        <f>IF(A3="","",'Risk-Register'!K3)</f>
        <v>15</v>
      </c>
      <c r="D3" s="2" t="str">
        <f>IF(A3="","",'Risk-Register'!L3)</f>
        <v>High</v>
      </c>
      <c r="E3" s="2" t="s">
        <v>36</v>
      </c>
      <c r="F3" s="2" t="s">
        <v>47</v>
      </c>
      <c r="G3" s="2">
        <v>2</v>
      </c>
      <c r="H3" s="2">
        <v>5</v>
      </c>
      <c r="I3" s="2">
        <f t="shared" si="0"/>
        <v>10</v>
      </c>
      <c r="J3" s="2" t="str">
        <f t="shared" si="1"/>
        <v>High</v>
      </c>
      <c r="K3" s="2" t="s">
        <v>38</v>
      </c>
      <c r="L3" s="2" t="s">
        <v>63</v>
      </c>
      <c r="M3" s="2" t="s">
        <v>87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9.2" x14ac:dyDescent="0.25">
      <c r="A4" s="2" t="s">
        <v>50</v>
      </c>
      <c r="B4" s="2" t="s">
        <v>51</v>
      </c>
      <c r="C4" s="2">
        <f>IF(A4="","",'Risk-Register'!K4)</f>
        <v>20</v>
      </c>
      <c r="D4" s="2" t="str">
        <f>IF(A4="","",'Risk-Register'!L4)</f>
        <v>Critical</v>
      </c>
      <c r="E4" s="2" t="s">
        <v>36</v>
      </c>
      <c r="F4" s="2" t="s">
        <v>47</v>
      </c>
      <c r="G4" s="2">
        <v>2</v>
      </c>
      <c r="H4" s="2">
        <v>5</v>
      </c>
      <c r="I4" s="2">
        <f t="shared" si="0"/>
        <v>10</v>
      </c>
      <c r="J4" s="2" t="str">
        <f t="shared" si="1"/>
        <v>High</v>
      </c>
      <c r="K4" s="2" t="s">
        <v>53</v>
      </c>
      <c r="L4" s="2" t="s">
        <v>109</v>
      </c>
      <c r="M4" s="2" t="s">
        <v>111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6" x14ac:dyDescent="0.25">
      <c r="A5" s="2" t="s">
        <v>56</v>
      </c>
      <c r="B5" s="2" t="s">
        <v>57</v>
      </c>
      <c r="C5" s="2">
        <f>IF(A5="","",'Risk-Register'!K5)</f>
        <v>20</v>
      </c>
      <c r="D5" s="2" t="str">
        <f>IF(A5="","",'Risk-Register'!L5)</f>
        <v>Critical</v>
      </c>
      <c r="E5" s="2" t="s">
        <v>36</v>
      </c>
      <c r="F5" s="2" t="s">
        <v>40</v>
      </c>
      <c r="G5" s="2">
        <v>2</v>
      </c>
      <c r="H5" s="2">
        <v>5</v>
      </c>
      <c r="I5" s="2">
        <f t="shared" si="0"/>
        <v>10</v>
      </c>
      <c r="J5" s="2" t="str">
        <f t="shared" si="1"/>
        <v>High</v>
      </c>
      <c r="K5" s="2" t="s">
        <v>53</v>
      </c>
      <c r="L5" s="2" t="s">
        <v>109</v>
      </c>
      <c r="M5" s="2" t="s">
        <v>131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9.2" x14ac:dyDescent="0.25">
      <c r="A6" s="2" t="s">
        <v>61</v>
      </c>
      <c r="B6" s="2" t="s">
        <v>62</v>
      </c>
      <c r="C6" s="2">
        <f>IF(A6="","",'Risk-Register'!K6)</f>
        <v>20</v>
      </c>
      <c r="D6" s="2" t="str">
        <f>IF(A6="","",'Risk-Register'!L6)</f>
        <v>Critical</v>
      </c>
      <c r="E6" s="2" t="s">
        <v>36</v>
      </c>
      <c r="F6" s="2" t="s">
        <v>47</v>
      </c>
      <c r="G6" s="2">
        <v>2</v>
      </c>
      <c r="H6" s="2">
        <v>5</v>
      </c>
      <c r="I6" s="2">
        <f t="shared" si="0"/>
        <v>10</v>
      </c>
      <c r="J6" s="2" t="str">
        <f t="shared" si="1"/>
        <v>High</v>
      </c>
      <c r="K6" s="2" t="s">
        <v>66</v>
      </c>
      <c r="L6" s="2" t="s">
        <v>109</v>
      </c>
      <c r="M6" s="2" t="s">
        <v>148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6" x14ac:dyDescent="0.25">
      <c r="A7" s="2" t="s">
        <v>69</v>
      </c>
      <c r="B7" s="2" t="s">
        <v>70</v>
      </c>
      <c r="C7" s="2">
        <f>IF(A7="","",'Risk-Register'!K7)</f>
        <v>20</v>
      </c>
      <c r="D7" s="2" t="str">
        <f>IF(A7="","",'Risk-Register'!L7)</f>
        <v>Critical</v>
      </c>
      <c r="E7" s="2" t="s">
        <v>36</v>
      </c>
      <c r="F7" s="2" t="s">
        <v>72</v>
      </c>
      <c r="G7" s="2">
        <v>2</v>
      </c>
      <c r="H7" s="2">
        <v>5</v>
      </c>
      <c r="I7" s="2">
        <f t="shared" si="0"/>
        <v>10</v>
      </c>
      <c r="J7" s="2" t="str">
        <f t="shared" si="1"/>
        <v>High</v>
      </c>
      <c r="K7" s="2" t="s">
        <v>38</v>
      </c>
      <c r="L7" s="2" t="s">
        <v>155</v>
      </c>
      <c r="M7" s="2" t="s">
        <v>156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9.2" x14ac:dyDescent="0.25">
      <c r="A8" s="2" t="s">
        <v>75</v>
      </c>
      <c r="B8" s="2" t="s">
        <v>76</v>
      </c>
      <c r="C8" s="2">
        <f>IF(A8="","",'Risk-Register'!K8)</f>
        <v>12</v>
      </c>
      <c r="D8" s="2" t="str">
        <f>IF(A8="","",'Risk-Register'!L8)</f>
        <v>High</v>
      </c>
      <c r="E8" s="2" t="s">
        <v>36</v>
      </c>
      <c r="F8" s="2" t="s">
        <v>40</v>
      </c>
      <c r="G8" s="2">
        <v>2</v>
      </c>
      <c r="H8" s="2">
        <v>4</v>
      </c>
      <c r="I8" s="2">
        <f t="shared" si="0"/>
        <v>8</v>
      </c>
      <c r="J8" s="2" t="str">
        <f t="shared" si="1"/>
        <v>Moderate</v>
      </c>
      <c r="K8" s="2" t="s">
        <v>38</v>
      </c>
      <c r="L8" s="2" t="s">
        <v>163</v>
      </c>
      <c r="M8" s="2" t="s">
        <v>164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2.8" x14ac:dyDescent="0.25">
      <c r="A9" s="2" t="s">
        <v>80</v>
      </c>
      <c r="B9" s="2" t="s">
        <v>81</v>
      </c>
      <c r="C9" s="2">
        <f>IF(A9="","",'Risk-Register'!K9)</f>
        <v>15</v>
      </c>
      <c r="D9" s="2" t="str">
        <f>IF(A9="","",'Risk-Register'!L9)</f>
        <v>High</v>
      </c>
      <c r="E9" s="2" t="s">
        <v>36</v>
      </c>
      <c r="F9" s="2" t="s">
        <v>47</v>
      </c>
      <c r="G9" s="2">
        <v>2</v>
      </c>
      <c r="H9" s="2">
        <v>5</v>
      </c>
      <c r="I9" s="2">
        <f t="shared" si="0"/>
        <v>10</v>
      </c>
      <c r="J9" s="2" t="str">
        <f t="shared" si="1"/>
        <v>High</v>
      </c>
      <c r="K9" s="2" t="s">
        <v>83</v>
      </c>
      <c r="L9" s="2" t="s">
        <v>172</v>
      </c>
      <c r="M9" s="2" t="s">
        <v>173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9.2" x14ac:dyDescent="0.25">
      <c r="A10" s="2" t="s">
        <v>91</v>
      </c>
      <c r="B10" s="2" t="s">
        <v>92</v>
      </c>
      <c r="C10" s="2">
        <f>IF(A10="","",'Risk-Register'!K10)</f>
        <v>16</v>
      </c>
      <c r="D10" s="2" t="str">
        <f>IF(A10="","",'Risk-Register'!L10)</f>
        <v>High</v>
      </c>
      <c r="E10" s="2" t="s">
        <v>36</v>
      </c>
      <c r="F10" s="2" t="s">
        <v>72</v>
      </c>
      <c r="G10" s="2">
        <v>2</v>
      </c>
      <c r="H10" s="2">
        <v>4</v>
      </c>
      <c r="I10" s="2">
        <f t="shared" si="0"/>
        <v>8</v>
      </c>
      <c r="J10" s="2" t="str">
        <f t="shared" si="1"/>
        <v>Moderate</v>
      </c>
      <c r="K10" s="2" t="s">
        <v>83</v>
      </c>
      <c r="L10" s="2" t="s">
        <v>180</v>
      </c>
      <c r="M10" s="2" t="s">
        <v>181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2.4" x14ac:dyDescent="0.25">
      <c r="A11" s="2" t="s">
        <v>96</v>
      </c>
      <c r="B11" s="2" t="s">
        <v>97</v>
      </c>
      <c r="C11" s="2">
        <f>IF(A11="","",'Risk-Register'!K11)</f>
        <v>12</v>
      </c>
      <c r="D11" s="2" t="str">
        <f>IF(A11="","",'Risk-Register'!L11)</f>
        <v>High</v>
      </c>
      <c r="E11" s="2" t="s">
        <v>36</v>
      </c>
      <c r="F11" s="2" t="s">
        <v>72</v>
      </c>
      <c r="G11" s="2">
        <v>2</v>
      </c>
      <c r="H11" s="2">
        <v>4</v>
      </c>
      <c r="I11" s="2">
        <f t="shared" si="0"/>
        <v>8</v>
      </c>
      <c r="J11" s="2" t="str">
        <f t="shared" si="1"/>
        <v>Moderate</v>
      </c>
      <c r="K11" s="2" t="s">
        <v>53</v>
      </c>
      <c r="L11" s="2" t="s">
        <v>188</v>
      </c>
      <c r="M11" s="2" t="s">
        <v>189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66" x14ac:dyDescent="0.25">
      <c r="A12" s="2" t="s">
        <v>102</v>
      </c>
      <c r="B12" s="2" t="s">
        <v>104</v>
      </c>
      <c r="C12" s="2">
        <f>IF(A12="","",'Risk-Register'!K12)</f>
        <v>15</v>
      </c>
      <c r="D12" s="2" t="str">
        <f>IF(A12="","",'Risk-Register'!L12)</f>
        <v>High</v>
      </c>
      <c r="E12" s="2" t="s">
        <v>36</v>
      </c>
      <c r="F12" s="2" t="s">
        <v>47</v>
      </c>
      <c r="G12" s="2">
        <v>2</v>
      </c>
      <c r="H12" s="2">
        <v>5</v>
      </c>
      <c r="I12" s="2">
        <f t="shared" si="0"/>
        <v>10</v>
      </c>
      <c r="J12" s="2" t="str">
        <f t="shared" si="1"/>
        <v>High</v>
      </c>
      <c r="K12" s="2" t="s">
        <v>53</v>
      </c>
      <c r="L12" s="2" t="s">
        <v>196</v>
      </c>
      <c r="M12" s="2" t="s">
        <v>197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6" x14ac:dyDescent="0.25">
      <c r="A13" s="2" t="s">
        <v>114</v>
      </c>
      <c r="B13" s="2" t="s">
        <v>115</v>
      </c>
      <c r="C13" s="2">
        <f>IF(A13="","",'Risk-Register'!K13)</f>
        <v>20</v>
      </c>
      <c r="D13" s="2" t="str">
        <f>IF(A13="","",'Risk-Register'!L13)</f>
        <v>Critical</v>
      </c>
      <c r="E13" s="2" t="s">
        <v>36</v>
      </c>
      <c r="F13" s="2" t="s">
        <v>72</v>
      </c>
      <c r="G13" s="2">
        <v>2</v>
      </c>
      <c r="H13" s="2">
        <v>5</v>
      </c>
      <c r="I13" s="2">
        <f t="shared" si="0"/>
        <v>10</v>
      </c>
      <c r="J13" s="2" t="str">
        <f t="shared" si="1"/>
        <v>High</v>
      </c>
      <c r="K13" s="2" t="s">
        <v>38</v>
      </c>
      <c r="L13" s="2" t="s">
        <v>204</v>
      </c>
      <c r="M13" s="2" t="s">
        <v>205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6" x14ac:dyDescent="0.25">
      <c r="A14" s="2" t="s">
        <v>119</v>
      </c>
      <c r="B14" s="2" t="s">
        <v>120</v>
      </c>
      <c r="C14" s="2">
        <f>IF(A14="","",'Risk-Register'!K14)</f>
        <v>15</v>
      </c>
      <c r="D14" s="2" t="str">
        <f>IF(A14="","",'Risk-Register'!L14)</f>
        <v>High</v>
      </c>
      <c r="E14" s="2" t="s">
        <v>36</v>
      </c>
      <c r="F14" s="2" t="s">
        <v>47</v>
      </c>
      <c r="G14" s="2">
        <v>2</v>
      </c>
      <c r="H14" s="2">
        <v>5</v>
      </c>
      <c r="I14" s="2">
        <f t="shared" si="0"/>
        <v>10</v>
      </c>
      <c r="J14" s="2" t="str">
        <f t="shared" si="1"/>
        <v>High</v>
      </c>
      <c r="K14" s="2" t="s">
        <v>38</v>
      </c>
      <c r="L14" s="2" t="s">
        <v>216</v>
      </c>
      <c r="M14" s="2" t="s">
        <v>217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5.6" x14ac:dyDescent="0.25">
      <c r="A15" s="2" t="s">
        <v>130</v>
      </c>
      <c r="B15" s="2" t="s">
        <v>132</v>
      </c>
      <c r="C15" s="2">
        <f>IF(A15="","",'Risk-Register'!K15)</f>
        <v>16</v>
      </c>
      <c r="D15" s="2" t="str">
        <f>IF(A15="","",'Risk-Register'!L15)</f>
        <v>High</v>
      </c>
      <c r="E15" s="2" t="s">
        <v>36</v>
      </c>
      <c r="F15" s="2" t="s">
        <v>47</v>
      </c>
      <c r="G15" s="2">
        <v>2</v>
      </c>
      <c r="H15" s="2">
        <v>4</v>
      </c>
      <c r="I15" s="2">
        <f t="shared" si="0"/>
        <v>8</v>
      </c>
      <c r="J15" s="2" t="str">
        <f t="shared" si="1"/>
        <v>Moderate</v>
      </c>
      <c r="K15" s="2" t="s">
        <v>38</v>
      </c>
      <c r="L15" s="2" t="s">
        <v>226</v>
      </c>
      <c r="M15" s="2" t="s">
        <v>227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9.2" x14ac:dyDescent="0.25">
      <c r="A16" s="2" t="s">
        <v>136</v>
      </c>
      <c r="B16" s="2" t="s">
        <v>137</v>
      </c>
      <c r="C16" s="2">
        <f>IF(A16="","",'Risk-Register'!K16)</f>
        <v>12</v>
      </c>
      <c r="D16" s="2" t="s">
        <v>46</v>
      </c>
      <c r="E16" s="2" t="s">
        <v>36</v>
      </c>
      <c r="F16" s="2" t="s">
        <v>40</v>
      </c>
      <c r="G16" s="2">
        <v>2</v>
      </c>
      <c r="H16" s="2">
        <v>4</v>
      </c>
      <c r="I16" s="2">
        <f t="shared" si="0"/>
        <v>8</v>
      </c>
      <c r="J16" s="2" t="str">
        <f t="shared" si="1"/>
        <v>Moderate</v>
      </c>
      <c r="K16" s="2" t="s">
        <v>139</v>
      </c>
      <c r="L16" s="2" t="s">
        <v>228</v>
      </c>
      <c r="M16" s="2" t="s">
        <v>229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3">
    <dataValidation type="list" allowBlank="1" showErrorMessage="1" sqref="E2:E16" xr:uid="{00000000-0002-0000-0200-000000000000}">
      <formula1>"Mitigate,Transfer,Avoid,Accept"</formula1>
    </dataValidation>
    <dataValidation type="list" allowBlank="1" showErrorMessage="1" sqref="F2:F16" xr:uid="{00000000-0002-0000-0200-000001000000}">
      <formula1>"Planned,In Progress,Implemented,Validated,Deferred,Closed"</formula1>
    </dataValidation>
    <dataValidation type="list" allowBlank="1" showErrorMessage="1" sqref="D2:D16 J2:J16" xr:uid="{00000000-0002-0000-0200-000002000000}">
      <formula1>"Critical,High,Moderate,Low"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Risk-Register</vt:lpstr>
      <vt:lpstr>Risk-Treatment-Plan</vt:lpstr>
      <vt:lpstr>Residual-Risk-Assessment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 - Yara Hkaimah Abou Fakher</cp:lastModifiedBy>
  <dcterms:created xsi:type="dcterms:W3CDTF">2026-09-13T23:50:04Z</dcterms:created>
  <dcterms:modified xsi:type="dcterms:W3CDTF">2026-09-13T23:59:49Z</dcterms:modified>
</cp:coreProperties>
</file>